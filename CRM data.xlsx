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https://d.docs.live.net/9ed812cb532d900e/CONSULT PLUS/"/>
    </mc:Choice>
  </mc:AlternateContent>
  <xr:revisionPtr revIDLastSave="899" documentId="8_{04643BC6-E013-4C77-B20B-9A4B918E6F19}" xr6:coauthVersionLast="47" xr6:coauthVersionMax="47" xr10:uidLastSave="{548CB7D6-1E48-F846-890C-D5360200CF2E}"/>
  <bookViews>
    <workbookView xWindow="0" yWindow="660" windowWidth="30240" windowHeight="17140" tabRatio="897" xr2:uid="{35496EF2-0470-5142-AAC4-FEDA66661F7D}"/>
  </bookViews>
  <sheets>
    <sheet name="Master" sheetId="9" r:id="rId1"/>
    <sheet name="PayRoll" sheetId="11" r:id="rId2"/>
    <sheet name="External Expenses" sheetId="12" r:id="rId3"/>
    <sheet name="Segment Costs" sheetId="10" r:id="rId4"/>
    <sheet name="Cashfllow" sheetId="13" r:id="rId5"/>
    <sheet name="Lists" sheetId="7" r:id="rId6"/>
  </sheets>
  <definedNames>
    <definedName name="_xlnm._FilterDatabase" localSheetId="0" hidden="1">Master!$A$1:$K$188</definedName>
    <definedName name="Master1">#REF!</definedName>
    <definedName name="MasterTAble">Master!$A$1:$K$187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3" l="1"/>
  <c r="H8" i="11"/>
  <c r="H9" i="11"/>
  <c r="H16" i="11"/>
  <c r="G6" i="12"/>
  <c r="B10" i="13"/>
  <c r="B7" i="13"/>
  <c r="J1" i="11"/>
  <c r="J2" i="12"/>
  <c r="B6" i="13" l="1"/>
  <c r="S9" i="9"/>
  <c r="S10" i="9"/>
  <c r="S11" i="9"/>
  <c r="S12" i="9"/>
  <c r="Q4" i="9"/>
  <c r="S4" i="9" s="1"/>
  <c r="R4" i="9"/>
  <c r="Q5" i="9"/>
  <c r="S5" i="9" s="1"/>
  <c r="R5" i="9"/>
  <c r="Q6" i="9"/>
  <c r="S6" i="9" s="1"/>
  <c r="R6" i="9"/>
  <c r="Q7" i="9"/>
  <c r="S7" i="9" s="1"/>
  <c r="R7" i="9"/>
  <c r="Q8" i="9"/>
  <c r="S8" i="9" s="1"/>
  <c r="R8" i="9"/>
  <c r="Q9" i="9"/>
  <c r="R9" i="9"/>
  <c r="Q10" i="9"/>
  <c r="R10" i="9"/>
  <c r="Q11" i="9"/>
  <c r="R11" i="9"/>
  <c r="Q12" i="9"/>
  <c r="R12" i="9"/>
  <c r="Q13" i="9"/>
  <c r="S13" i="9" s="1"/>
  <c r="R13" i="9"/>
  <c r="Q14" i="9"/>
  <c r="S14" i="9" s="1"/>
  <c r="R14" i="9"/>
  <c r="Q15" i="9"/>
  <c r="S15" i="9" s="1"/>
  <c r="R15" i="9"/>
  <c r="Q16" i="9"/>
  <c r="S16" i="9" s="1"/>
  <c r="R16" i="9"/>
  <c r="Q17" i="9"/>
  <c r="S17" i="9" s="1"/>
  <c r="R17" i="9"/>
  <c r="F6" i="11"/>
  <c r="D6" i="11"/>
  <c r="G6" i="11" s="1"/>
  <c r="H6" i="12"/>
  <c r="H7" i="12"/>
  <c r="D6" i="12"/>
  <c r="G5" i="12"/>
  <c r="H5" i="12"/>
  <c r="D7" i="12"/>
  <c r="C3" i="12" l="1"/>
  <c r="E3" i="12"/>
  <c r="F3" i="12"/>
  <c r="B3" i="12"/>
  <c r="D2" i="12"/>
  <c r="G2" i="12" s="1"/>
  <c r="D4" i="12"/>
  <c r="G4" i="12" s="1"/>
  <c r="D5" i="12"/>
  <c r="B23" i="10"/>
  <c r="B21" i="10"/>
  <c r="B22" i="10"/>
  <c r="Q3" i="9"/>
  <c r="S3" i="9" s="1"/>
  <c r="D2" i="11"/>
  <c r="G2" i="11" s="1"/>
  <c r="H2" i="11" s="1"/>
  <c r="F2" i="11"/>
  <c r="F17" i="11" s="1"/>
  <c r="D3" i="11"/>
  <c r="G3" i="11" s="1"/>
  <c r="F3" i="11"/>
  <c r="D4" i="11"/>
  <c r="G4" i="11" s="1"/>
  <c r="F4" i="11"/>
  <c r="D5" i="11"/>
  <c r="G5" i="11" s="1"/>
  <c r="F5" i="11"/>
  <c r="D7" i="11"/>
  <c r="G7" i="11" s="1"/>
  <c r="F7" i="11"/>
  <c r="D8" i="11"/>
  <c r="G8" i="11" s="1"/>
  <c r="F8" i="11"/>
  <c r="D9" i="11"/>
  <c r="F9" i="11"/>
  <c r="G9" i="11"/>
  <c r="D10" i="11"/>
  <c r="G10" i="11" s="1"/>
  <c r="F10" i="11"/>
  <c r="D11" i="11"/>
  <c r="G11" i="11" s="1"/>
  <c r="F11" i="11"/>
  <c r="D12" i="11"/>
  <c r="G12" i="11" s="1"/>
  <c r="H12" i="11" s="1"/>
  <c r="F12" i="11"/>
  <c r="D13" i="11"/>
  <c r="G13" i="11" s="1"/>
  <c r="F13" i="11"/>
  <c r="D14" i="11"/>
  <c r="G14" i="11" s="1"/>
  <c r="F14" i="11"/>
  <c r="D15" i="11"/>
  <c r="F15" i="11"/>
  <c r="G15" i="11"/>
  <c r="H15" i="11"/>
  <c r="D16" i="11"/>
  <c r="G16" i="11" s="1"/>
  <c r="F16" i="11"/>
  <c r="H188" i="9"/>
  <c r="B2" i="13" s="1"/>
  <c r="B22" i="13" s="1"/>
  <c r="H14" i="11" l="1"/>
  <c r="H7" i="11"/>
  <c r="G3" i="12"/>
  <c r="H2" i="12"/>
  <c r="D3" i="12"/>
  <c r="H4" i="12"/>
  <c r="H5" i="11"/>
  <c r="H11" i="11"/>
  <c r="H3" i="11"/>
  <c r="H13" i="11"/>
  <c r="H8" i="12"/>
  <c r="R3" i="9"/>
  <c r="R18" i="9" s="1"/>
  <c r="H10" i="11"/>
  <c r="H17" i="11" l="1"/>
  <c r="B5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70865E-780A-490D-8DCE-9B9791433596}" keepAlive="1" name="Query - MasterTAble" description="Connection to the 'MasterTAble' query in the workbook." type="5" refreshedVersion="0" background="1">
    <dbPr connection="Provider=Microsoft.Mashup.OleDb.1;Data Source=$Workbook$;Location=MasterTAble;Extended Properties=&quot;&quot;" command="SELECT * FROM [MasterTAble]"/>
  </connection>
</connections>
</file>

<file path=xl/sharedStrings.xml><?xml version="1.0" encoding="utf-8"?>
<sst xmlns="http://schemas.openxmlformats.org/spreadsheetml/2006/main" count="1349" uniqueCount="341">
  <si>
    <t>НЕ</t>
  </si>
  <si>
    <t>NULA</t>
  </si>
  <si>
    <t>АКТИВНА</t>
  </si>
  <si>
    <t>НУЛЕВО</t>
  </si>
  <si>
    <t>КРАСИМИРА  ГЕОРГИЕВА</t>
  </si>
  <si>
    <t>ГАЛИНА ГЕОРГИЕВА</t>
  </si>
  <si>
    <t>ВИОЛИНА  МИТАКСОВА</t>
  </si>
  <si>
    <t>МАЯ МАТАНСКА</t>
  </si>
  <si>
    <t>ПЕТЯ  ПАВЛОВА</t>
  </si>
  <si>
    <t>ДИМИТРИНА  КОЛЕВА</t>
  </si>
  <si>
    <t>АВОМИС ЕООД</t>
  </si>
  <si>
    <t>АДРИАТИКА БЛУ ЕООД</t>
  </si>
  <si>
    <t>АЛЕКС К 2002 ЕООД</t>
  </si>
  <si>
    <t>АНВЕРС КОНСТРУКТ ЕООД</t>
  </si>
  <si>
    <t>АНВЕРС КОМЕРС ЕООД</t>
  </si>
  <si>
    <t>АНВЕРС КОНСУЛТ ЕООД</t>
  </si>
  <si>
    <t>ВИКИ 2 ООД</t>
  </si>
  <si>
    <t>ВИКИВАТ ООД</t>
  </si>
  <si>
    <t>ГИМЕС ООД</t>
  </si>
  <si>
    <t>ГРАФИС ООД</t>
  </si>
  <si>
    <t>ДЕЙВИД ПРОФЕШЪНЪЛ ООД</t>
  </si>
  <si>
    <t>ДИВЕРСО ГРУП 13 ООД</t>
  </si>
  <si>
    <t>ДИГИ 84 ООД</t>
  </si>
  <si>
    <t>ИНВЕНИО БЪЛГАРИЯ ЕООД</t>
  </si>
  <si>
    <t>ИНВЕНИО РК ЕООД</t>
  </si>
  <si>
    <t>ИСИ ПЛОВДИВ ЕООД</t>
  </si>
  <si>
    <t>КАР ДЕ ЛУКС 88 ЕООД</t>
  </si>
  <si>
    <t>КОНСУЛТ ПЛЮС ЕООД</t>
  </si>
  <si>
    <t>ЛЮБА ФЕШЪН ЕООД</t>
  </si>
  <si>
    <t>МАРИАНА КОЛЕВА 1 ЕООД</t>
  </si>
  <si>
    <t>МАГАЗИН ВИКИВАТ</t>
  </si>
  <si>
    <t>МАРИАНА КОЛЕВА 7 ЕООД</t>
  </si>
  <si>
    <t>МАРТКОНСУЛТ 21 ЕООД</t>
  </si>
  <si>
    <t>МАРЧЕЛКАА ЕООД</t>
  </si>
  <si>
    <t>ПЛАМА СОФТ ООД</t>
  </si>
  <si>
    <t>ПЕРМАНЕНЦА ЕООД</t>
  </si>
  <si>
    <t>РОЯЛ ВИЖЪН ЕООД</t>
  </si>
  <si>
    <t>СТИЛ ЕНД ВЕС ООД</t>
  </si>
  <si>
    <t>СТИЛ ЕНД ВЕС 2 ООД</t>
  </si>
  <si>
    <t>ТОЙ ЕООД</t>
  </si>
  <si>
    <t>ФИЛОСОФИЯ НА ВКУСА ООД</t>
  </si>
  <si>
    <t>ФИНЕСТА ЕООД</t>
  </si>
  <si>
    <t>ФЛЕАР ЕВРОПА ООД</t>
  </si>
  <si>
    <t>ФРЕА ЕООД</t>
  </si>
  <si>
    <t>ФРУКТ КОМЕРС ООД</t>
  </si>
  <si>
    <t>ФУТУРО ЕООД</t>
  </si>
  <si>
    <t>ХЕЛТИ ТРИЙТС ЕООД</t>
  </si>
  <si>
    <t>ХЕМИНГУЕЙ БЪЛГАРИЯ ЕООД</t>
  </si>
  <si>
    <t>ХРИСТИ 7777 ЕООД</t>
  </si>
  <si>
    <t>ШОП 650 ЕООД</t>
  </si>
  <si>
    <t>ГРИЙН ХОУМС ЕООД</t>
  </si>
  <si>
    <t>ИНВЕСТ ЛУКС ПРОПЪРТИ ЕООД</t>
  </si>
  <si>
    <t>МАРКЕТИНГ БГ ЕООД</t>
  </si>
  <si>
    <t>МЕЛИТЕК ООД</t>
  </si>
  <si>
    <t>МИРОКС ДЕКОР ООД</t>
  </si>
  <si>
    <t>УЕСТ ПРОПЪРТИ ИНВЕСТМЪНТ ЕООД</t>
  </si>
  <si>
    <t>АНЕЛИЯ  ЩЕРЕВА</t>
  </si>
  <si>
    <t>АГРОДЕН ООД</t>
  </si>
  <si>
    <t>АЛЕКС С 2002 ЕООД</t>
  </si>
  <si>
    <t>БОРЕ ГРУП ЕООД</t>
  </si>
  <si>
    <t>ВЕК ТРЕЙДИНГ ООД</t>
  </si>
  <si>
    <t>ВИЛХЕЛМ БЪЛГАРИЯ ЕООД</t>
  </si>
  <si>
    <t>ГЕРИ МУР 2016 ЕООД</t>
  </si>
  <si>
    <t>ДЕЙВИД ПОСТАЛ МАРКЕТ ООД</t>
  </si>
  <si>
    <t>ЕЛ БЪЛГАРИЯ ЕООД</t>
  </si>
  <si>
    <t>ЖИЗАТЕКС ООД</t>
  </si>
  <si>
    <t>ИМЕРИС МИНЕРАЛС БЪЛГАРИЯ АД</t>
  </si>
  <si>
    <t>КАЛМАНОЛА ЕООД</t>
  </si>
  <si>
    <t>КЛЪСТЪРМАРКЕТ БЪЛГАРИЯ ЕООД</t>
  </si>
  <si>
    <t>КТК-КЪМПЛИТ ТРЕЙДИНГ КЪМПАНИ ЕООД</t>
  </si>
  <si>
    <t>ЛТИ ИНЖЕНЕРИНГ ЕООД</t>
  </si>
  <si>
    <t>МЕБЕЛИ ВЕКО ЕООД</t>
  </si>
  <si>
    <t>МЕГА МАРКЕТ РИТЕЙЛ ЕООД</t>
  </si>
  <si>
    <t>ПРЕКОС ООД</t>
  </si>
  <si>
    <t>РЕТУР 07 ЕООД</t>
  </si>
  <si>
    <t>ТИТАН - ХХ ООД</t>
  </si>
  <si>
    <t>АНУШКА РАДЕВА</t>
  </si>
  <si>
    <t>Фирма</t>
  </si>
  <si>
    <t>СТАТУС</t>
  </si>
  <si>
    <t>MAND</t>
  </si>
  <si>
    <t>Счетоводител</t>
  </si>
  <si>
    <t>Заместване</t>
  </si>
  <si>
    <t>ТРЗ Отг.</t>
  </si>
  <si>
    <t>ТРЗ Статус</t>
  </si>
  <si>
    <t>Данък изт./СИДО</t>
  </si>
  <si>
    <t>2Б ООД</t>
  </si>
  <si>
    <t>АТАНАСКА  ГОСПОДИНОВА</t>
  </si>
  <si>
    <t>СОЛ</t>
  </si>
  <si>
    <t>ДУК</t>
  </si>
  <si>
    <t>АГРИ СТРОЙ ЕООД</t>
  </si>
  <si>
    <t>257</t>
  </si>
  <si>
    <t>АГРОГРУП 2017 ООД</t>
  </si>
  <si>
    <t>358</t>
  </si>
  <si>
    <t>СИЛВИЯ  ИВАНОВА</t>
  </si>
  <si>
    <t>СОЛ+</t>
  </si>
  <si>
    <t>АДВАНС ХОУМС ООД</t>
  </si>
  <si>
    <t>РАДКА НИКОЛОВА</t>
  </si>
  <si>
    <t>А1</t>
  </si>
  <si>
    <t>АДВОКАТСКО СЪДРУЖИЕ ЗЛАТКОВА И БРЕЗОВСКА</t>
  </si>
  <si>
    <t>465</t>
  </si>
  <si>
    <t>ДУК+</t>
  </si>
  <si>
    <t>АКВА КРАФТ ЕООД</t>
  </si>
  <si>
    <t>281</t>
  </si>
  <si>
    <t>АЛИСА 34 ЕООД</t>
  </si>
  <si>
    <t>296</t>
  </si>
  <si>
    <t>430</t>
  </si>
  <si>
    <t>АНВЕРС КОМЕРСИАЛ ЕООД</t>
  </si>
  <si>
    <t>429</t>
  </si>
  <si>
    <t>428</t>
  </si>
  <si>
    <t>АРИМА КОНСУЛТ ООД</t>
  </si>
  <si>
    <t>438</t>
  </si>
  <si>
    <t>АРТИСЕТ ООД</t>
  </si>
  <si>
    <t>400</t>
  </si>
  <si>
    <t>АСЕТ ИНВЕСТМЪНТ ЕООД</t>
  </si>
  <si>
    <t>АСЕТ ФАРМА ЕООД</t>
  </si>
  <si>
    <t>АСИ 75</t>
  </si>
  <si>
    <t>172</t>
  </si>
  <si>
    <t>БОНАФАЙД ЕООД</t>
  </si>
  <si>
    <t>425</t>
  </si>
  <si>
    <t>468</t>
  </si>
  <si>
    <t>БРАТЯ ДИМОВИ 2009 ООД</t>
  </si>
  <si>
    <t>ВАИС ГРУП 77 ЕООД</t>
  </si>
  <si>
    <t>ВАЛСПОРТ 84 ЕООД</t>
  </si>
  <si>
    <t>ВАТЕРПОЛО КОМЕРС ЕООД</t>
  </si>
  <si>
    <t>010</t>
  </si>
  <si>
    <t>ВЕКО СТРОЙ 2009 ЕООД</t>
  </si>
  <si>
    <t>085</t>
  </si>
  <si>
    <t>467</t>
  </si>
  <si>
    <t>Служители</t>
  </si>
  <si>
    <t>ДЖИВИЕМСИ МЕНПАУЪР МЕНИДЖМЪНТ ООД</t>
  </si>
  <si>
    <t>ВОМИС КОНСУЛТ ООД</t>
  </si>
  <si>
    <t>ГЕЗЕДЖИ ООД</t>
  </si>
  <si>
    <t>451</t>
  </si>
  <si>
    <t>277</t>
  </si>
  <si>
    <t>ГЛИТ ЦРО ЕООД</t>
  </si>
  <si>
    <t>ДАРЛИН БЮТИ ЕООД</t>
  </si>
  <si>
    <t>405</t>
  </si>
  <si>
    <t>ДЕЙВИД ПИЕР БЮНЕТ</t>
  </si>
  <si>
    <t>403</t>
  </si>
  <si>
    <t>411</t>
  </si>
  <si>
    <t>ДЖИ ТИ ДРАЙВ ЕООД</t>
  </si>
  <si>
    <t>469</t>
  </si>
  <si>
    <t>ДИЕНДИ - ФАРМ ЕООД</t>
  </si>
  <si>
    <t>ДИОНИС 13  ЕООД</t>
  </si>
  <si>
    <t>202</t>
  </si>
  <si>
    <t>Д-Р ПЕНКА АТАНАСОВА</t>
  </si>
  <si>
    <t>ДРАЙВ ХЪБ ЕООД</t>
  </si>
  <si>
    <t>Дуайен Юръп-Производство на строителни химикали ЕООД</t>
  </si>
  <si>
    <t>ЕВРОТЕХ БЪЛГАРИЯ 2022 ЕООД</t>
  </si>
  <si>
    <t>ЕКОТЕРМ БЪЛГАРИЯ ЕООД</t>
  </si>
  <si>
    <t>290</t>
  </si>
  <si>
    <t>ЕЛИНМАР ООД</t>
  </si>
  <si>
    <t>БЕЗ ДДС</t>
  </si>
  <si>
    <t>ЕСиЕМ ИНТЕРИО</t>
  </si>
  <si>
    <t>470</t>
  </si>
  <si>
    <t>ЕН ТИ ДЖИ ГРУП 19 ЕДПК</t>
  </si>
  <si>
    <t>ЕРДЖИ 2000 ЕООД</t>
  </si>
  <si>
    <t>ЕС ФОР БИ ООД</t>
  </si>
  <si>
    <t>381</t>
  </si>
  <si>
    <t>ЕТ ВИКИВАТ</t>
  </si>
  <si>
    <t>ЗВЕЗДА 21 ЕООД</t>
  </si>
  <si>
    <t>ЗДРАВЧЕВИ ТРАНС ООД</t>
  </si>
  <si>
    <t>055</t>
  </si>
  <si>
    <t>ЗЕМЕДЕЛСКО СТОПАНСТВО ПЕРУЩИЦА ЕООД</t>
  </si>
  <si>
    <t>242</t>
  </si>
  <si>
    <t>ЗП ВЕЛИ КАРАХОДЖЕВ</t>
  </si>
  <si>
    <t>ИВС ИНВЕСТ ООД</t>
  </si>
  <si>
    <t>SAP</t>
  </si>
  <si>
    <t>ИСИ ПЛОВДИВ ЕООД - одиторски файл</t>
  </si>
  <si>
    <t>471</t>
  </si>
  <si>
    <t>ЙОШИ ЕООД</t>
  </si>
  <si>
    <t>КАРБУ ЕООД</t>
  </si>
  <si>
    <t>КИАРА НОВЕ ЕООД</t>
  </si>
  <si>
    <t>КИАРА ПРИВЕ ЕООД</t>
  </si>
  <si>
    <t>КИАРА - ФАРМ ЕООД</t>
  </si>
  <si>
    <t>КМД ИМОТИ ЕООД</t>
  </si>
  <si>
    <t>КМК 05 ООД</t>
  </si>
  <si>
    <t>КОНСТРУКТ СТРОЙ ООД</t>
  </si>
  <si>
    <t>241</t>
  </si>
  <si>
    <t>КОРЕКТ ИВ ЕООД</t>
  </si>
  <si>
    <t>КРЮ РЕПУБЛИК ЕООД</t>
  </si>
  <si>
    <t>КЮ ЕС ДЖИ ЕООД</t>
  </si>
  <si>
    <t>426</t>
  </si>
  <si>
    <t>ЛБГ ЕООД</t>
  </si>
  <si>
    <t>319</t>
  </si>
  <si>
    <t>ЛУЛЧЕВ - 55 ЕООД</t>
  </si>
  <si>
    <t>МА КАПКА ЕООД</t>
  </si>
  <si>
    <t>260</t>
  </si>
  <si>
    <t>МАРИАНА КОЛЕВА 11 ЕООД</t>
  </si>
  <si>
    <t>262</t>
  </si>
  <si>
    <t>МАРИАНА КОЛЕВА 7А ЕООД</t>
  </si>
  <si>
    <t>МАРИЯНА КОЛЕВА 1 ЕООД</t>
  </si>
  <si>
    <t>БЕЗ ДЕЙНОСТ</t>
  </si>
  <si>
    <t>МАРИЯНА КОЛЕВА 11 ЕООД</t>
  </si>
  <si>
    <t>МАРИЯНА КОЛЕВА 7 ЕООД</t>
  </si>
  <si>
    <t>МАРИЯНА КОЛЕВА 7А ЕООД</t>
  </si>
  <si>
    <t>375</t>
  </si>
  <si>
    <t>МАСТЪР АСЕТ ЕООД</t>
  </si>
  <si>
    <t>446</t>
  </si>
  <si>
    <t>159</t>
  </si>
  <si>
    <t>012</t>
  </si>
  <si>
    <t>МЕГА МАРКЕТ ЕООД</t>
  </si>
  <si>
    <t>035</t>
  </si>
  <si>
    <t>МЕГА МАРКЕТ ИМОТИ ЕООД</t>
  </si>
  <si>
    <t>МЕГА МАРКЕТ ИМПОРТ ЕООД</t>
  </si>
  <si>
    <t>МЕГА МАРКЕТ ИНВЕСТ ЕООД</t>
  </si>
  <si>
    <t>144</t>
  </si>
  <si>
    <t>143</t>
  </si>
  <si>
    <t>МЕДИА КРИС ЕООД</t>
  </si>
  <si>
    <t>406</t>
  </si>
  <si>
    <t>МИКС 24 ООД</t>
  </si>
  <si>
    <t>455</t>
  </si>
  <si>
    <t>МИЛЕНИУМ С ЕООД</t>
  </si>
  <si>
    <t>МУСОНИ ОАЗИС ЕООД</t>
  </si>
  <si>
    <t>МУСОНИ БЪЛГАРИЯ ЕООД</t>
  </si>
  <si>
    <t>417</t>
  </si>
  <si>
    <t>НАДИ 86 ООД</t>
  </si>
  <si>
    <t>195</t>
  </si>
  <si>
    <t>НГ КРИСТЪЛ КЛИЪР ООД</t>
  </si>
  <si>
    <t>НЕФИ 1 ЕООД</t>
  </si>
  <si>
    <t>169</t>
  </si>
  <si>
    <t>НОТА МЕДЖИК ЕДПК</t>
  </si>
  <si>
    <t>НЮ ЕСТЕЙТ 2024 ЕООД</t>
  </si>
  <si>
    <t>460/NULA</t>
  </si>
  <si>
    <t>ОЙНУР ЕООД</t>
  </si>
  <si>
    <t>ОЛИВИЕ АНРИ АНТОНИО УСАН</t>
  </si>
  <si>
    <t>ПАДЕЛ КЛУБ ПЛОВДИВ ЕООД</t>
  </si>
  <si>
    <t>ПЕРЛАИНВЕСТ ООД</t>
  </si>
  <si>
    <t>ПЛОЧКИТЕ ЕООД</t>
  </si>
  <si>
    <t>036</t>
  </si>
  <si>
    <t>ПРОМИШЛЕНИ ДЕЙНОСТИ - 1 ООД</t>
  </si>
  <si>
    <t>ПРОПЪРТИ ХЪБ</t>
  </si>
  <si>
    <t>ПРОТЕА - 2000 ЕООД</t>
  </si>
  <si>
    <t>РАДЕВИ 2019 ЕООД</t>
  </si>
  <si>
    <t>РВР ГРУП ЕООД</t>
  </si>
  <si>
    <t>РЕНТАРО ЕООД</t>
  </si>
  <si>
    <t>056</t>
  </si>
  <si>
    <t>РИЛУСЕНТ ЕООД</t>
  </si>
  <si>
    <t xml:space="preserve">САМПО </t>
  </si>
  <si>
    <t>СГ - ИМОТИ ЕООД</t>
  </si>
  <si>
    <t>СИГНЪС ТРЕЙД ООД</t>
  </si>
  <si>
    <t>СИДИ ТРЕЙД ЕООД</t>
  </si>
  <si>
    <t>168</t>
  </si>
  <si>
    <t xml:space="preserve">СИЛВЕРЕРО ООД </t>
  </si>
  <si>
    <t>271</t>
  </si>
  <si>
    <t>СИРИУС ДЪКС ООД</t>
  </si>
  <si>
    <t>СКЕЙЛЪП ООД</t>
  </si>
  <si>
    <t>113</t>
  </si>
  <si>
    <t>СЛАВЕКС НОВА ТРЕЙД ЕООД</t>
  </si>
  <si>
    <t>СО СПЕКТЪР ЕАД</t>
  </si>
  <si>
    <t>СТ ПРОПЪРТИС ЕООД</t>
  </si>
  <si>
    <t>СЪНИ ТРИЙТС ЕООД</t>
  </si>
  <si>
    <t>ТЕРА 2000 ЕООД</t>
  </si>
  <si>
    <t>ТМТ ГЛОБЪЛФАРМ ЕООД</t>
  </si>
  <si>
    <t>ТМТ ГРУП ФАРМА ЕООД</t>
  </si>
  <si>
    <t>ТМТ ФАРМА ЕООД</t>
  </si>
  <si>
    <t>ТМТ ФАРМА ГРУП ЕООД</t>
  </si>
  <si>
    <t>ТОП ТЕН ИНВЕСТ</t>
  </si>
  <si>
    <t>УАЙН ХЪНТ ЕООД</t>
  </si>
  <si>
    <t>ФАБИО СИЛВАН ДЕ РОЗ</t>
  </si>
  <si>
    <t>ФАРМАМЕД ЕООД</t>
  </si>
  <si>
    <t>ФАРМГЛОУ ЕООД</t>
  </si>
  <si>
    <t>ФМ ПЛЮС ГРУП ЕООД</t>
  </si>
  <si>
    <t>ФРАНЧЕСКО СОЛЮШЪНС ЕООД</t>
  </si>
  <si>
    <t>ФРЕА 28 ЕООД</t>
  </si>
  <si>
    <t>344</t>
  </si>
  <si>
    <t>ХЕЛТИ ЛАЙФ 2022</t>
  </si>
  <si>
    <t>ХЕРКО ООД</t>
  </si>
  <si>
    <t>194</t>
  </si>
  <si>
    <t>ХИСАР-МИЛЕНИУМ ООД</t>
  </si>
  <si>
    <t>447</t>
  </si>
  <si>
    <t>ХЪМИНГБЪРД ТРАВЕЛ БЪЛГАРИЯ ЕООД</t>
  </si>
  <si>
    <t>Колеги</t>
  </si>
  <si>
    <t>ТРЗ</t>
  </si>
  <si>
    <t>Статус</t>
  </si>
  <si>
    <t>без ДДС</t>
  </si>
  <si>
    <t>МАРИЯ МОНЧЕВСКА</t>
  </si>
  <si>
    <t>НЕ АКТИВНА</t>
  </si>
  <si>
    <t>АНГЕЛ ТОДОРОВ</t>
  </si>
  <si>
    <t>СИЛВИЯ СТОЯНЧЕВА</t>
  </si>
  <si>
    <t>ХОНОРАР</t>
  </si>
  <si>
    <t>АЛФА БЕТА БИЛД ООД</t>
  </si>
  <si>
    <t>НИКОЛ ДАНАИЛОВА ДИЕВА</t>
  </si>
  <si>
    <t>СИЛВИЯ НИКОЛОВА ИВАНОВА</t>
  </si>
  <si>
    <t>РАДКА ИВАНОВА НИКОЛОВА</t>
  </si>
  <si>
    <t>ПЕТЯ ГЕОРГИЕВА ПАВЛОВА</t>
  </si>
  <si>
    <t>МАРИЯ ИЛИЕВА МОНЧЕВСКА</t>
  </si>
  <si>
    <t>КРАСИМИРА БОРИСЛАВОВА ГЕОРГИЕВА</t>
  </si>
  <si>
    <t>ДИМИТРИНА ВИТКОВА КОЛЕВА</t>
  </si>
  <si>
    <t>ГАЛИНА БОРИСЛАВОВА ГЕОРГИЕВА</t>
  </si>
  <si>
    <t>ВИОЛИНА ПЛАМЕНОВА МИТАКСОВА</t>
  </si>
  <si>
    <t>АТАНАСКА КОЛЕВА ГОСПОДИНОВА</t>
  </si>
  <si>
    <t>АНЕЛИЯ ТОДОРОВА ЩЕРЕВА</t>
  </si>
  <si>
    <t>АНЕЛИЯ ТОДОРОВА ПЕНКОВА</t>
  </si>
  <si>
    <t>АНГЕЛ САШЕВ ТОДОРОВ</t>
  </si>
  <si>
    <t>Пълен Разход</t>
  </si>
  <si>
    <t>Тотал</t>
  </si>
  <si>
    <t>КЕШ</t>
  </si>
  <si>
    <t>Чисто по банка</t>
  </si>
  <si>
    <t>Осигуровки работодател</t>
  </si>
  <si>
    <t xml:space="preserve">Осиг. доход	</t>
  </si>
  <si>
    <t>Нето</t>
  </si>
  <si>
    <t>Име, презиме, фамилия</t>
  </si>
  <si>
    <t>Име</t>
  </si>
  <si>
    <t>Отдел</t>
  </si>
  <si>
    <t>Сума</t>
  </si>
  <si>
    <t>Acc</t>
  </si>
  <si>
    <t>Admin</t>
  </si>
  <si>
    <t>HR</t>
  </si>
  <si>
    <t>РОСИЦА ДИЕВА САРЕЛСКА</t>
  </si>
  <si>
    <t>ЛАСАРА МОРЕНО</t>
  </si>
  <si>
    <t>ДЕЙЛИС РОМЕРО ЕЧАВАРИЯ</t>
  </si>
  <si>
    <t>САБИНА ПЕХЛИВАНОВА ДИЕВА</t>
  </si>
  <si>
    <t>КАЛИН ДИЕВ</t>
  </si>
  <si>
    <t>КРАСИМИРА ГЕОРГИЕВА</t>
  </si>
  <si>
    <t>АНЕЛИЯ ПЕНКОВА</t>
  </si>
  <si>
    <t>АНЕЛИЯ ЩЕРЕВА</t>
  </si>
  <si>
    <t>АТАНАСКА ГОСПОДИНОВА</t>
  </si>
  <si>
    <t>ВИОЛИНА МИТАКСОВА</t>
  </si>
  <si>
    <t>ДИМИТРИНА КОЛЕВА</t>
  </si>
  <si>
    <t>ПЕТЯ ПАВЛОВА</t>
  </si>
  <si>
    <t>СИЛВИЯ ИВАНОВА</t>
  </si>
  <si>
    <t>Income</t>
  </si>
  <si>
    <t>Payroll</t>
  </si>
  <si>
    <t>External</t>
  </si>
  <si>
    <t>Food</t>
  </si>
  <si>
    <t>Operational</t>
  </si>
  <si>
    <t>Интернет</t>
  </si>
  <si>
    <t>Слак</t>
  </si>
  <si>
    <t>Майкрософт</t>
  </si>
  <si>
    <t>Мобилни</t>
  </si>
  <si>
    <t>СОТ</t>
  </si>
  <si>
    <t>Материали</t>
  </si>
  <si>
    <t>Total Expenses</t>
  </si>
  <si>
    <t>Cash</t>
  </si>
  <si>
    <t>TOTAL</t>
  </si>
  <si>
    <t>Rents/Property Hub</t>
  </si>
  <si>
    <t>Ок</t>
  </si>
  <si>
    <t>Проблемен</t>
  </si>
  <si>
    <t>Изискващ</t>
  </si>
  <si>
    <t>Обемен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</si>
</sst>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;_-@_-"/>
    <numFmt numFmtId="165" formatCode="_([$€-2]\ * #,##0.00_);_([$€-2]\ * \(#,##0.00\);_([$€-2]\ * &quot;-&quot;??_);_(@_)"/>
  </numFmts>
  <fonts count="1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indexed="8"/>
      <name val="Arial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3"/>
      <color indexed="8"/>
      <name val="Calibri"/>
      <family val="2"/>
      <charset val="204"/>
    </font>
    <font>
      <b/>
      <sz val="13"/>
      <color rgb="FF212529"/>
      <name val="Tahoma"/>
      <family val="2"/>
    </font>
    <font>
      <sz val="13"/>
      <color indexed="8"/>
      <name val="Arial"/>
      <family val="2"/>
    </font>
    <font>
      <sz val="13"/>
      <color theme="1"/>
      <name val="Aptos Narrow"/>
      <family val="2"/>
      <scheme val="minor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  <font>
      <i/>
      <sz val="16"/>
      <color theme="1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>
      <alignment vertical="top"/>
    </xf>
    <xf numFmtId="9" fontId="3" fillId="0" borderId="0" applyFont="0" applyFill="0" applyBorder="0" applyAlignment="0" applyProtection="0">
      <alignment vertical="top"/>
    </xf>
  </cellStyleXfs>
  <cellXfs count="8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4" fontId="0" fillId="0" borderId="0" xfId="0" applyNumberFormat="1"/>
    <xf numFmtId="0" fontId="0" fillId="3" borderId="5" xfId="0" applyFill="1" applyBorder="1" applyAlignment="1">
      <alignment vertical="center"/>
    </xf>
    <xf numFmtId="0" fontId="0" fillId="3" borderId="5" xfId="0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164" fontId="0" fillId="3" borderId="5" xfId="0" applyNumberFormat="1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5" borderId="5" xfId="0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164" fontId="0" fillId="5" borderId="5" xfId="0" applyNumberForma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3" fillId="0" borderId="0" xfId="1">
      <alignment vertical="top"/>
    </xf>
    <xf numFmtId="165" fontId="0" fillId="0" borderId="0" xfId="0" applyNumberFormat="1"/>
    <xf numFmtId="0" fontId="4" fillId="0" borderId="0" xfId="0" applyFont="1"/>
    <xf numFmtId="165" fontId="4" fillId="0" borderId="0" xfId="0" applyNumberFormat="1" applyFont="1"/>
    <xf numFmtId="0" fontId="4" fillId="7" borderId="0" xfId="0" applyFont="1" applyFill="1"/>
    <xf numFmtId="165" fontId="4" fillId="7" borderId="0" xfId="0" applyNumberFormat="1" applyFont="1" applyFill="1"/>
    <xf numFmtId="0" fontId="4" fillId="9" borderId="0" xfId="0" applyFont="1" applyFill="1"/>
    <xf numFmtId="165" fontId="4" fillId="9" borderId="0" xfId="0" applyNumberFormat="1" applyFont="1" applyFill="1"/>
    <xf numFmtId="0" fontId="4" fillId="8" borderId="0" xfId="0" applyFont="1" applyFill="1"/>
    <xf numFmtId="165" fontId="4" fillId="8" borderId="0" xfId="0" applyNumberFormat="1" applyFont="1" applyFill="1"/>
    <xf numFmtId="165" fontId="5" fillId="0" borderId="0" xfId="0" applyNumberFormat="1" applyFont="1"/>
    <xf numFmtId="0" fontId="4" fillId="9" borderId="1" xfId="0" applyFont="1" applyFill="1" applyBorder="1"/>
    <xf numFmtId="165" fontId="4" fillId="9" borderId="8" xfId="0" applyNumberFormat="1" applyFont="1" applyFill="1" applyBorder="1"/>
    <xf numFmtId="0" fontId="4" fillId="8" borderId="1" xfId="0" applyFont="1" applyFill="1" applyBorder="1"/>
    <xf numFmtId="165" fontId="4" fillId="8" borderId="8" xfId="0" applyNumberFormat="1" applyFont="1" applyFill="1" applyBorder="1"/>
    <xf numFmtId="0" fontId="4" fillId="7" borderId="1" xfId="0" applyFont="1" applyFill="1" applyBorder="1"/>
    <xf numFmtId="165" fontId="4" fillId="7" borderId="8" xfId="0" applyNumberFormat="1" applyFont="1" applyFill="1" applyBorder="1"/>
    <xf numFmtId="0" fontId="6" fillId="0" borderId="9" xfId="1" applyFont="1" applyBorder="1" applyAlignment="1">
      <alignment horizontal="center" vertical="center" wrapText="1"/>
    </xf>
    <xf numFmtId="0" fontId="6" fillId="6" borderId="10" xfId="1" applyFont="1" applyFill="1" applyBorder="1" applyAlignment="1">
      <alignment horizont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wrapText="1"/>
    </xf>
    <xf numFmtId="10" fontId="7" fillId="0" borderId="7" xfId="2" applyNumberFormat="1" applyFont="1" applyBorder="1" applyAlignment="1"/>
    <xf numFmtId="0" fontId="8" fillId="0" borderId="5" xfId="1" applyFont="1" applyBorder="1" applyAlignment="1">
      <alignment horizontal="left" vertical="center" wrapText="1" readingOrder="1"/>
    </xf>
    <xf numFmtId="165" fontId="9" fillId="0" borderId="6" xfId="1" applyNumberFormat="1" applyFont="1" applyBorder="1" applyAlignment="1">
      <alignment horizontal="right"/>
    </xf>
    <xf numFmtId="165" fontId="8" fillId="0" borderId="5" xfId="1" applyNumberFormat="1" applyFont="1" applyBorder="1" applyAlignment="1">
      <alignment vertical="top" wrapText="1" readingOrder="1"/>
    </xf>
    <xf numFmtId="165" fontId="9" fillId="0" borderId="0" xfId="1" applyNumberFormat="1" applyFont="1" applyAlignment="1"/>
    <xf numFmtId="0" fontId="8" fillId="0" borderId="0" xfId="1" applyFont="1" applyAlignment="1"/>
    <xf numFmtId="0" fontId="8" fillId="0" borderId="0" xfId="1" applyFont="1">
      <alignment vertical="top"/>
    </xf>
    <xf numFmtId="165" fontId="8" fillId="0" borderId="0" xfId="1" applyNumberFormat="1" applyFont="1">
      <alignment vertical="top"/>
    </xf>
    <xf numFmtId="0" fontId="6" fillId="6" borderId="11" xfId="1" applyFont="1" applyFill="1" applyBorder="1" applyAlignment="1">
      <alignment horizont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wrapText="1"/>
    </xf>
    <xf numFmtId="165" fontId="8" fillId="3" borderId="0" xfId="1" applyNumberFormat="1" applyFont="1" applyFill="1" applyAlignment="1">
      <alignment wrapText="1" readingOrder="1"/>
    </xf>
    <xf numFmtId="0" fontId="8" fillId="0" borderId="0" xfId="1" applyFont="1" applyAlignment="1">
      <alignment horizontal="left" wrapText="1" readingOrder="1"/>
    </xf>
    <xf numFmtId="165" fontId="9" fillId="0" borderId="0" xfId="1" applyNumberFormat="1" applyFont="1" applyAlignment="1">
      <alignment horizontal="right"/>
    </xf>
    <xf numFmtId="165" fontId="9" fillId="3" borderId="0" xfId="1" applyNumberFormat="1" applyFont="1" applyFill="1" applyAlignment="1">
      <alignment horizontal="right"/>
    </xf>
    <xf numFmtId="0" fontId="6" fillId="2" borderId="12" xfId="1" applyFont="1" applyFill="1" applyBorder="1" applyAlignment="1">
      <alignment horizontal="center" vertical="center" wrapText="1"/>
    </xf>
    <xf numFmtId="0" fontId="8" fillId="3" borderId="0" xfId="1" applyFont="1" applyFill="1" applyAlignment="1">
      <alignment horizontal="left" wrapText="1" readingOrder="1"/>
    </xf>
    <xf numFmtId="165" fontId="9" fillId="0" borderId="0" xfId="0" applyNumberFormat="1" applyFont="1"/>
    <xf numFmtId="0" fontId="8" fillId="7" borderId="0" xfId="1" applyFont="1" applyFill="1" applyAlignment="1">
      <alignment horizontal="left" wrapText="1" readingOrder="1"/>
    </xf>
    <xf numFmtId="165" fontId="9" fillId="7" borderId="0" xfId="1" applyNumberFormat="1" applyFont="1" applyFill="1" applyAlignment="1">
      <alignment horizontal="right"/>
    </xf>
    <xf numFmtId="0" fontId="8" fillId="0" borderId="13" xfId="0" applyFont="1" applyBorder="1" applyAlignment="1">
      <alignment horizontal="left" vertical="center" wrapText="1" readingOrder="1"/>
    </xf>
    <xf numFmtId="165" fontId="9" fillId="0" borderId="11" xfId="0" applyNumberFormat="1" applyFont="1" applyBorder="1" applyAlignment="1">
      <alignment horizontal="right"/>
    </xf>
    <xf numFmtId="165" fontId="8" fillId="0" borderId="13" xfId="0" applyNumberFormat="1" applyFont="1" applyBorder="1" applyAlignment="1">
      <alignment vertical="top" wrapText="1" readingOrder="1"/>
    </xf>
    <xf numFmtId="0" fontId="10" fillId="0" borderId="0" xfId="0" applyFont="1"/>
    <xf numFmtId="0" fontId="10" fillId="10" borderId="0" xfId="0" applyFont="1" applyFill="1"/>
    <xf numFmtId="165" fontId="11" fillId="10" borderId="0" xfId="0" applyNumberFormat="1" applyFont="1" applyFill="1"/>
    <xf numFmtId="165" fontId="12" fillId="0" borderId="0" xfId="0" applyNumberFormat="1" applyFont="1"/>
    <xf numFmtId="0" fontId="12" fillId="0" borderId="0" xfId="0" applyFont="1" applyAlignment="1">
      <alignment horizontal="right"/>
    </xf>
    <xf numFmtId="0" fontId="10" fillId="7" borderId="0" xfId="0" applyFont="1" applyFill="1"/>
    <xf numFmtId="165" fontId="11" fillId="7" borderId="0" xfId="0" applyNumberFormat="1" applyFont="1" applyFill="1"/>
    <xf numFmtId="0" fontId="10" fillId="11" borderId="0" xfId="0" applyFont="1" applyFill="1"/>
    <xf numFmtId="165" fontId="10" fillId="11" borderId="0" xfId="0" applyNumberFormat="1" applyFont="1" applyFill="1"/>
    <xf numFmtId="0" fontId="10" fillId="12" borderId="0" xfId="0" applyFont="1" applyFill="1"/>
    <xf numFmtId="165" fontId="10" fillId="12" borderId="0" xfId="0" applyNumberFormat="1" applyFont="1" applyFill="1"/>
    <xf numFmtId="0" fontId="0" fillId="12" borderId="5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4" borderId="5" xfId="0" applyFill="1" applyBorder="1" applyAlignment="1">
      <alignment vertical="center"/>
    </xf>
    <xf numFmtId="0" fontId="0" fillId="15" borderId="5" xfId="0" applyFill="1" applyBorder="1" applyAlignment="1">
      <alignment vertical="center"/>
    </xf>
    <xf numFmtId="0" fontId="0" fillId="13" borderId="5" xfId="0" applyFill="1" applyBorder="1" applyAlignment="1">
      <alignment vertical="center"/>
    </xf>
    <xf numFmtId="0" fontId="0" fillId="12" borderId="5" xfId="0" applyFill="1" applyBorder="1" applyAlignment="1">
      <alignment vertical="center"/>
    </xf>
  </cellXfs>
  <cellStyles count="3">
    <cellStyle name="Normal" xfId="0" builtinId="0"/>
    <cellStyle name="Normal 2" xfId="1" xr:uid="{9F91B943-8497-8E49-B3A7-99A55CD0D624}"/>
    <cellStyle name="Percent 2" xfId="2" xr:uid="{0F1C0A50-F369-4C44-B82B-C31E10D0CFA5}"/>
  </cellStyles>
  <dxfs count="41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rgb="FF0070C0"/>
      </font>
      <fill>
        <patternFill>
          <fgColor auto="1"/>
          <bgColor rgb="FF99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/>
      </font>
      <fill>
        <patternFill patternType="solid">
          <bgColor theme="4" tint="0.59999389629810485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_([$€-2]\ * #,##0.00_);_([$€-2]\ * \(#,##0.00\);_([$€-2]\ * &quot;-&quot;??_);_(@_)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numFmt numFmtId="165" formatCode="_([$€-2]\ * #,##0.00_);_([$€-2]\ * \(#,##0.00\);_([$€-2]\ * &quot;-&quot;??_);_(@_)"/>
    </dxf>
    <dxf>
      <numFmt numFmtId="165" formatCode="_([$€-2]\ * #,##0.00_);_([$€-2]\ * \(#,##0.00\);_([$€-2]\ * &quot;-&quot;??_);_(@_)"/>
    </dxf>
    <dxf>
      <numFmt numFmtId="165" formatCode="_([$€-2]\ * #,##0.00_);_([$€-2]\ * \(#,##0.00\);_([$€-2]\ * &quot;-&quot;??_);_(@_)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indexed="8"/>
        <name val="Calibri"/>
        <family val="2"/>
        <charset val="204"/>
        <scheme val="none"/>
      </font>
      <numFmt numFmtId="0" formatCode="General"/>
      <fill>
        <patternFill patternType="solid">
          <fgColor theme="4"/>
          <bgColor theme="4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165" formatCode="_([$€-2]\ * #,##0.00_);_([$€-2]\ * \(#,##0.00\);_([$€-2]\ 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165" formatCode="_([$€-2]\ * #,##0.00_);_([$€-2]\ * \(#,##0.00\);_([$€-2]\ 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165" formatCode="_([$€-2]\ * #,##0.00_);_([$€-2]\ * \(#,##0.00\);_([$€-2]\ 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165" formatCode="_([$€-2]\ * #,##0.00_);_([$€-2]\ * \(#,##0.00\);_([$€-2]\ * &quot;-&quot;??_);_(@_)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165" formatCode="_([$€-2]\ * #,##0.00_);_([$€-2]\ * \(#,##0.00\);_([$€-2]\ 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165" formatCode="_([$€-2]\ * #,##0.00_);_([$€-2]\ * \(#,##0.00\);_([$€-2]\ * &quot;-&quot;??_);_(@_)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indexed="8"/>
        <name val="Arial"/>
        <family val="2"/>
        <scheme val="none"/>
      </font>
      <numFmt numFmtId="165" formatCode="_([$€-2]\ * #,##0.00_);_([$€-2]\ * \(#,##0.00\);_([$€-2]\ * &quot;-&quot;??_);_(@_)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indexed="8"/>
        <name val="Arial"/>
        <family val="2"/>
        <scheme val="none"/>
      </font>
      <numFmt numFmtId="165" formatCode="_([$€-2]\ * #,##0.00_);_([$€-2]\ * \(#,##0.00\);_([$€-2]\ * &quot;-&quot;??_);_(@_)"/>
      <alignment horizontal="general" vertical="top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165" formatCode="_([$€-2]\ * #,##0.00_);_([$€-2]\ * \(#,##0.00\);_([$€-2]\ 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165" formatCode="_([$€-2]\ * #,##0.00_);_([$€-2]\ * \(#,##0.00\);_([$€-2]\ * &quot;-&quot;??_);_(@_)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165" formatCode="_([$€-2]\ * #,##0.00_);_([$€-2]\ * \(#,##0.00\);_([$€-2]\ 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165" formatCode="_([$€-2]\ * #,##0.00_);_([$€-2]\ * \(#,##0.00\);_([$€-2]\ * &quot;-&quot;??_);_(@_)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165" formatCode="_([$€-2]\ * #,##0.00_);_([$€-2]\ * \(#,##0.00\);_([$€-2]\ 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165" formatCode="_([$€-2]\ * #,##0.00_);_([$€-2]\ * \(#,##0.00\);_([$€-2]\ * &quot;-&quot;??_);_(@_)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indexed="8"/>
        <name val="Arial"/>
        <family val="2"/>
        <scheme val="none"/>
      </font>
      <alignment horizontal="lef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indexed="8"/>
        <name val="Calibri"/>
        <family val="2"/>
        <charset val="204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E53030-BC78-9543-AA18-333FBFC496A9}" name="Table3" displayName="Table3" ref="A1:H17" totalsRowCount="1" headerRowDxfId="40" dataDxfId="38" headerRowBorderDxfId="39" tableBorderDxfId="37" headerRowCellStyle="Normal 2" dataCellStyle="Normal 2">
  <autoFilter ref="A1:H16" xr:uid="{39E53030-BC78-9543-AA18-333FBFC496A9}"/>
  <tableColumns count="8">
    <tableColumn id="1" xr3:uid="{CBDBC6D5-3CC4-A948-88C3-63532A8DBD6A}" name="Име, презиме, фамилия" dataDxfId="36" totalsRowDxfId="35" dataCellStyle="Normal 2"/>
    <tableColumn id="2" xr3:uid="{CFFC62F4-C83B-EA4C-AAE7-24D58DB7A4EE}" name="Нето" dataDxfId="34" totalsRowDxfId="33" dataCellStyle="Normal 2"/>
    <tableColumn id="3" xr3:uid="{A757B9C6-CE75-B344-8BF8-82D979DA7B27}" name="Осиг. доход_x0009_" dataDxfId="32" totalsRowDxfId="31" dataCellStyle="Normal 2"/>
    <tableColumn id="4" xr3:uid="{9E2E9470-45BC-D840-BBC7-C7E035F20F12}" name="Осигуровки работодател" dataDxfId="30" totalsRowDxfId="29" dataCellStyle="Normal 2">
      <calculatedColumnFormula>C2*$I$1</calculatedColumnFormula>
    </tableColumn>
    <tableColumn id="5" xr3:uid="{7837F3E6-8DE2-E743-9FFE-D7FDAF86B421}" name="Чисто по банка" dataDxfId="28" totalsRowDxfId="27" dataCellStyle="Normal 2"/>
    <tableColumn id="6" xr3:uid="{52A24CC0-665D-EF46-ABC7-6501A0BFC296}" name="КЕШ" totalsRowFunction="sum" dataDxfId="26" totalsRowDxfId="25" dataCellStyle="Normal 2">
      <calculatedColumnFormula>B2-E2</calculatedColumnFormula>
    </tableColumn>
    <tableColumn id="7" xr3:uid="{67C69A23-E1AC-004F-BB28-C9EFA6CA26DC}" name="Тотал" dataDxfId="24" totalsRowDxfId="23" dataCellStyle="Normal 2">
      <calculatedColumnFormula>C2+D2</calculatedColumnFormula>
    </tableColumn>
    <tableColumn id="8" xr3:uid="{39715A5A-DE17-8A47-A650-8F460AEE115C}" name="Пълен Разход" totalsRowFunction="sum" dataDxfId="22" totalsRowDxfId="21" dataCellStyle="Normal 2">
      <calculatedColumnFormula>G2+F2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FBBFD4-2485-2047-A1D1-2052DC80082A}" name="Table4" displayName="Table4" ref="A1:H8" totalsRowCount="1" headerRowDxfId="20" headerRowBorderDxfId="19" tableBorderDxfId="18" headerRowCellStyle="Normal 2">
  <autoFilter ref="A1:H7" xr:uid="{01FBBFD4-2485-2047-A1D1-2052DC80082A}"/>
  <tableColumns count="8">
    <tableColumn id="1" xr3:uid="{3AAF082C-42B4-E541-89D6-3CB82E9123BF}" name="Име, презиме, фамилия"/>
    <tableColumn id="2" xr3:uid="{6F6A64DD-627D-AA4D-B4FF-D683D8CCB1D0}" name="Нето"/>
    <tableColumn id="3" xr3:uid="{EAEAD39B-BFB1-8140-B516-90A3F680F222}" name="Осиг. доход_x0009_"/>
    <tableColumn id="4" xr3:uid="{4ABA17F4-DFF4-A646-8152-A559D167ED62}" name="Осигуровки работодател" dataDxfId="17" totalsRowDxfId="16">
      <calculatedColumnFormula>Table4[[#This Row],[Осиг. доход	]]*$J$1</calculatedColumnFormula>
    </tableColumn>
    <tableColumn id="5" xr3:uid="{73011EC5-5A41-FF46-B3CD-9D81F1F2A174}" name="Чисто по банка"/>
    <tableColumn id="6" xr3:uid="{D6F5A5BC-E5FF-154B-9842-DF244F68A4F7}" name="КЕШ"/>
    <tableColumn id="7" xr3:uid="{CC2B2A9C-A96D-3E4A-818B-69D56A5A72A0}" name="Тотал">
      <calculatedColumnFormula>C2+D2</calculatedColumnFormula>
    </tableColumn>
    <tableColumn id="8" xr3:uid="{D1CF54DD-D030-B743-8460-F030732196A3}" name="Пълен Разход" totalsRowFunction="sum" totalsRowDxfId="15">
      <calculatedColumnFormula>G2+F2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E430D-C0F3-2747-8185-49E293634A8B}" name="Table1" displayName="Table1" ref="A1:C15" totalsRowShown="0" dataDxfId="14">
  <autoFilter ref="A1:C15" xr:uid="{E70E430D-C0F3-2747-8185-49E293634A8B}"/>
  <sortState xmlns:xlrd2="http://schemas.microsoft.com/office/spreadsheetml/2017/richdata2" ref="A2:C15">
    <sortCondition ref="A1:A15"/>
  </sortState>
  <tableColumns count="3">
    <tableColumn id="1" xr3:uid="{9E8DF1FD-CC38-7945-8B38-58E5EFA81C59}" name="Име" dataDxfId="13"/>
    <tableColumn id="2" xr3:uid="{51BD6995-FEB6-D346-9498-88006C9718DF}" name="Отдел" dataDxfId="12"/>
    <tableColumn id="3" xr3:uid="{67523F39-5FF1-DB4A-AEB1-3CB50138C80F}" name="Сума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978AC-54CD-4247-B35A-B7992324732D}">
  <sheetPr>
    <tabColor theme="5" tint="-0.499984740745262"/>
    <pageSetUpPr fitToPage="1"/>
  </sheetPr>
  <dimension ref="A1:S18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78" sqref="A78"/>
    </sheetView>
  </sheetViews>
  <sheetFormatPr baseColWidth="10" defaultColWidth="8.83203125" defaultRowHeight="16" x14ac:dyDescent="0.2"/>
  <cols>
    <col min="1" max="1" width="54" bestFit="1" customWidth="1"/>
    <col min="2" max="2" width="54" customWidth="1"/>
    <col min="3" max="3" width="15" customWidth="1"/>
    <col min="4" max="4" width="11.5" customWidth="1"/>
    <col min="5" max="5" width="24.83203125" customWidth="1"/>
    <col min="6" max="6" width="23" customWidth="1"/>
    <col min="7" max="7" width="24.83203125" customWidth="1"/>
    <col min="8" max="8" width="19.33203125" customWidth="1"/>
    <col min="9" max="9" width="23.83203125" hidden="1" customWidth="1"/>
    <col min="10" max="11" width="21.83203125" hidden="1" customWidth="1"/>
    <col min="12" max="12" width="10.6640625" customWidth="1"/>
    <col min="17" max="17" width="35.6640625" bestFit="1" customWidth="1"/>
    <col min="18" max="18" width="11.83203125" bestFit="1" customWidth="1"/>
    <col min="19" max="19" width="13.5" bestFit="1" customWidth="1"/>
  </cols>
  <sheetData>
    <row r="1" spans="1:19" x14ac:dyDescent="0.2">
      <c r="A1" s="7" t="s">
        <v>77</v>
      </c>
      <c r="B1" s="7"/>
      <c r="C1" s="7" t="s">
        <v>78</v>
      </c>
      <c r="D1" s="7" t="s">
        <v>79</v>
      </c>
      <c r="E1" s="7" t="s">
        <v>80</v>
      </c>
      <c r="F1" s="7" t="s">
        <v>81</v>
      </c>
      <c r="G1" s="4" t="s">
        <v>273</v>
      </c>
      <c r="H1" s="4" t="s">
        <v>280</v>
      </c>
      <c r="I1" s="1" t="s">
        <v>82</v>
      </c>
      <c r="J1" s="1" t="s">
        <v>83</v>
      </c>
      <c r="K1" s="1" t="s">
        <v>84</v>
      </c>
    </row>
    <row r="2" spans="1:19" x14ac:dyDescent="0.2">
      <c r="A2" s="79" t="s">
        <v>85</v>
      </c>
      <c r="B2" s="9"/>
      <c r="C2" s="10" t="s">
        <v>2</v>
      </c>
      <c r="D2" s="11" t="s">
        <v>1</v>
      </c>
      <c r="E2" s="12" t="s">
        <v>76</v>
      </c>
      <c r="F2" s="12" t="s">
        <v>6</v>
      </c>
      <c r="G2" s="12" t="s">
        <v>86</v>
      </c>
      <c r="H2" s="13">
        <v>0</v>
      </c>
      <c r="I2" s="5" t="s">
        <v>86</v>
      </c>
      <c r="J2" s="2" t="s">
        <v>87</v>
      </c>
      <c r="K2" s="2" t="s">
        <v>0</v>
      </c>
    </row>
    <row r="3" spans="1:19" ht="19" x14ac:dyDescent="0.25">
      <c r="A3" s="14" t="s">
        <v>10</v>
      </c>
      <c r="B3" s="19" t="s">
        <v>337</v>
      </c>
      <c r="C3" s="15" t="s">
        <v>2</v>
      </c>
      <c r="D3" s="16" t="s">
        <v>1</v>
      </c>
      <c r="E3" s="17" t="s">
        <v>76</v>
      </c>
      <c r="F3" s="17" t="s">
        <v>4</v>
      </c>
      <c r="G3" s="17"/>
      <c r="H3" s="18">
        <v>0</v>
      </c>
      <c r="I3" s="6" t="s">
        <v>86</v>
      </c>
      <c r="J3" s="2" t="s">
        <v>88</v>
      </c>
      <c r="K3" s="3"/>
      <c r="Q3" t="str">
        <f>PayRoll!A2</f>
        <v>АНГЕЛ ТОДОРОВ</v>
      </c>
      <c r="R3" s="23">
        <f>PayRoll!H2</f>
        <v>1413.2</v>
      </c>
      <c r="S3" s="36">
        <f>SUMIF(E:E,Q3,H:H)</f>
        <v>200</v>
      </c>
    </row>
    <row r="4" spans="1:19" ht="19" x14ac:dyDescent="0.25">
      <c r="A4" s="9" t="s">
        <v>89</v>
      </c>
      <c r="B4" s="9" t="s">
        <v>337</v>
      </c>
      <c r="C4" s="10" t="s">
        <v>2</v>
      </c>
      <c r="D4" s="11" t="s">
        <v>90</v>
      </c>
      <c r="E4" s="12" t="s">
        <v>7</v>
      </c>
      <c r="F4" s="12" t="s">
        <v>6</v>
      </c>
      <c r="G4" s="12"/>
      <c r="H4" s="13">
        <v>0</v>
      </c>
      <c r="I4" s="5"/>
      <c r="J4" s="2"/>
      <c r="K4" s="2"/>
      <c r="Q4" t="str">
        <f>PayRoll!A3</f>
        <v>АНЕЛИЯ ПЕНКОВА</v>
      </c>
      <c r="R4" s="23">
        <f>PayRoll!H3</f>
        <v>1413.2</v>
      </c>
      <c r="S4" s="36">
        <f t="shared" ref="S4:S17" si="0">SUMIF(E:E,Q4,H:H)</f>
        <v>0</v>
      </c>
    </row>
    <row r="5" spans="1:19" ht="19" x14ac:dyDescent="0.25">
      <c r="A5" s="19" t="s">
        <v>91</v>
      </c>
      <c r="B5" s="19" t="s">
        <v>337</v>
      </c>
      <c r="C5" s="10" t="s">
        <v>2</v>
      </c>
      <c r="D5" s="20" t="s">
        <v>1</v>
      </c>
      <c r="E5" s="21"/>
      <c r="F5" s="21" t="s">
        <v>6</v>
      </c>
      <c r="G5" s="21"/>
      <c r="H5" s="18">
        <v>150</v>
      </c>
      <c r="I5" s="6"/>
      <c r="J5" s="2"/>
      <c r="K5" s="3"/>
      <c r="M5" t="s">
        <v>337</v>
      </c>
      <c r="Q5" t="str">
        <f>PayRoll!A4</f>
        <v>АНЕЛИЯ ЩЕРЕВА</v>
      </c>
      <c r="R5" s="23">
        <f>PayRoll!H4</f>
        <v>0</v>
      </c>
      <c r="S5" s="36">
        <f t="shared" si="0"/>
        <v>0</v>
      </c>
    </row>
    <row r="6" spans="1:19" ht="19" x14ac:dyDescent="0.25">
      <c r="A6" s="9" t="s">
        <v>57</v>
      </c>
      <c r="B6" s="9" t="s">
        <v>337</v>
      </c>
      <c r="C6" s="10" t="s">
        <v>2</v>
      </c>
      <c r="D6" s="11" t="s">
        <v>92</v>
      </c>
      <c r="E6" s="12"/>
      <c r="F6" s="12" t="s">
        <v>4</v>
      </c>
      <c r="G6" s="12"/>
      <c r="H6" s="13">
        <v>700</v>
      </c>
      <c r="I6" s="5" t="s">
        <v>93</v>
      </c>
      <c r="J6" s="2" t="s">
        <v>94</v>
      </c>
      <c r="K6" s="2"/>
      <c r="M6" t="s">
        <v>338</v>
      </c>
      <c r="Q6" t="str">
        <f>PayRoll!A5</f>
        <v>АТАНАСКА ГОСПОДИНОВА</v>
      </c>
      <c r="R6" s="23">
        <f>PayRoll!H5</f>
        <v>1613.2</v>
      </c>
      <c r="S6" s="36">
        <f t="shared" si="0"/>
        <v>0</v>
      </c>
    </row>
    <row r="7" spans="1:19" ht="19" x14ac:dyDescent="0.25">
      <c r="A7" s="19" t="s">
        <v>95</v>
      </c>
      <c r="B7" s="19" t="s">
        <v>337</v>
      </c>
      <c r="C7" s="10" t="s">
        <v>2</v>
      </c>
      <c r="D7" s="20" t="s">
        <v>1</v>
      </c>
      <c r="E7" s="21"/>
      <c r="F7" s="21" t="s">
        <v>96</v>
      </c>
      <c r="G7" s="77"/>
      <c r="H7" s="18">
        <v>250</v>
      </c>
      <c r="I7" s="6" t="s">
        <v>86</v>
      </c>
      <c r="J7" s="2" t="s">
        <v>97</v>
      </c>
      <c r="K7" s="3"/>
      <c r="M7" t="s">
        <v>339</v>
      </c>
      <c r="Q7" t="str">
        <f>PayRoll!A6</f>
        <v>АНУШКА РАДЕВА</v>
      </c>
      <c r="R7" s="23">
        <f>PayRoll!H6</f>
        <v>1200</v>
      </c>
      <c r="S7" s="36">
        <f t="shared" si="0"/>
        <v>3180</v>
      </c>
    </row>
    <row r="8" spans="1:19" ht="19" x14ac:dyDescent="0.25">
      <c r="A8" s="9" t="s">
        <v>98</v>
      </c>
      <c r="B8" s="9" t="s">
        <v>337</v>
      </c>
      <c r="C8" s="10" t="s">
        <v>2</v>
      </c>
      <c r="D8" s="11" t="s">
        <v>99</v>
      </c>
      <c r="E8" s="12" t="s">
        <v>8</v>
      </c>
      <c r="F8" s="12" t="s">
        <v>96</v>
      </c>
      <c r="G8" s="12"/>
      <c r="H8" s="13">
        <v>250</v>
      </c>
      <c r="I8" s="5" t="s">
        <v>86</v>
      </c>
      <c r="J8" s="2" t="s">
        <v>87</v>
      </c>
      <c r="K8" s="2"/>
      <c r="M8" t="s">
        <v>340</v>
      </c>
      <c r="Q8" t="str">
        <f>PayRoll!A7</f>
        <v>ВИОЛИНА МИТАКСОВА</v>
      </c>
      <c r="R8" s="23">
        <f>PayRoll!H7</f>
        <v>1693.2</v>
      </c>
      <c r="S8" s="36">
        <f t="shared" si="0"/>
        <v>0</v>
      </c>
    </row>
    <row r="9" spans="1:19" ht="19" x14ac:dyDescent="0.25">
      <c r="A9" s="19" t="s">
        <v>11</v>
      </c>
      <c r="B9" s="19" t="s">
        <v>337</v>
      </c>
      <c r="C9" s="10" t="s">
        <v>2</v>
      </c>
      <c r="D9" s="11" t="s">
        <v>1</v>
      </c>
      <c r="E9" s="21" t="s">
        <v>8</v>
      </c>
      <c r="F9" s="21" t="s">
        <v>6</v>
      </c>
      <c r="G9" s="21"/>
      <c r="H9" s="18">
        <v>800</v>
      </c>
      <c r="I9" s="6" t="s">
        <v>93</v>
      </c>
      <c r="J9" s="2" t="s">
        <v>100</v>
      </c>
      <c r="K9" s="3"/>
      <c r="Q9" t="str">
        <f>PayRoll!A8</f>
        <v>ГАЛИНА ГЕОРГИЕВА</v>
      </c>
      <c r="R9" s="23">
        <f>PayRoll!H8</f>
        <v>1363.2</v>
      </c>
      <c r="S9" s="36">
        <f t="shared" si="0"/>
        <v>7250</v>
      </c>
    </row>
    <row r="10" spans="1:19" ht="19" x14ac:dyDescent="0.25">
      <c r="A10" s="9" t="s">
        <v>101</v>
      </c>
      <c r="B10" s="9"/>
      <c r="C10" s="10" t="s">
        <v>3</v>
      </c>
      <c r="D10" s="11" t="s">
        <v>102</v>
      </c>
      <c r="E10" s="12" t="s">
        <v>76</v>
      </c>
      <c r="F10" s="12" t="s">
        <v>96</v>
      </c>
      <c r="G10" s="12"/>
      <c r="H10" s="13">
        <v>0</v>
      </c>
      <c r="I10" s="5"/>
      <c r="J10" s="2"/>
      <c r="K10" s="2"/>
      <c r="Q10" t="str">
        <f>PayRoll!A9</f>
        <v>ДИМИТРИНА КОЛЕВА</v>
      </c>
      <c r="R10" s="23">
        <f>PayRoll!H9</f>
        <v>1588.2</v>
      </c>
      <c r="S10" s="36">
        <f t="shared" si="0"/>
        <v>0</v>
      </c>
    </row>
    <row r="11" spans="1:19" ht="19" x14ac:dyDescent="0.25">
      <c r="A11" s="19" t="s">
        <v>12</v>
      </c>
      <c r="B11" s="19" t="s">
        <v>339</v>
      </c>
      <c r="C11" s="10" t="s">
        <v>2</v>
      </c>
      <c r="D11" s="20" t="s">
        <v>1</v>
      </c>
      <c r="E11" s="21" t="s">
        <v>5</v>
      </c>
      <c r="F11" s="21" t="s">
        <v>4</v>
      </c>
      <c r="G11" s="77"/>
      <c r="H11" s="18">
        <v>1100</v>
      </c>
      <c r="I11" s="6" t="s">
        <v>86</v>
      </c>
      <c r="J11" s="2" t="s">
        <v>100</v>
      </c>
      <c r="K11" s="3"/>
      <c r="Q11" t="str">
        <f>PayRoll!A10</f>
        <v>КРАСИМИРА ГЕОРГИЕВА</v>
      </c>
      <c r="R11" s="23">
        <f>PayRoll!H10</f>
        <v>1693.2</v>
      </c>
      <c r="S11" s="36">
        <f t="shared" si="0"/>
        <v>0</v>
      </c>
    </row>
    <row r="12" spans="1:19" ht="19" x14ac:dyDescent="0.25">
      <c r="A12" s="19" t="s">
        <v>60</v>
      </c>
      <c r="B12" s="9" t="s">
        <v>338</v>
      </c>
      <c r="C12" s="10" t="s">
        <v>2</v>
      </c>
      <c r="D12" s="20" t="s">
        <v>124</v>
      </c>
      <c r="E12" s="12" t="s">
        <v>7</v>
      </c>
      <c r="F12" s="12" t="s">
        <v>6</v>
      </c>
      <c r="G12" s="21"/>
      <c r="H12" s="13">
        <v>700</v>
      </c>
      <c r="I12" s="5" t="s">
        <v>86</v>
      </c>
      <c r="J12" s="2" t="s">
        <v>94</v>
      </c>
      <c r="K12" s="2"/>
      <c r="Q12" t="str">
        <f>PayRoll!A11</f>
        <v>МАРИЯ МОНЧЕВСКА</v>
      </c>
      <c r="R12" s="23">
        <f>PayRoll!H11</f>
        <v>1663.2</v>
      </c>
      <c r="S12" s="36">
        <f t="shared" si="0"/>
        <v>0</v>
      </c>
    </row>
    <row r="13" spans="1:19" ht="19" x14ac:dyDescent="0.25">
      <c r="A13" s="19" t="s">
        <v>103</v>
      </c>
      <c r="B13" s="19"/>
      <c r="C13" s="10" t="s">
        <v>3</v>
      </c>
      <c r="D13" s="20" t="s">
        <v>104</v>
      </c>
      <c r="E13" s="12" t="s">
        <v>76</v>
      </c>
      <c r="F13" s="21" t="s">
        <v>96</v>
      </c>
      <c r="G13" s="21"/>
      <c r="H13" s="18">
        <v>0</v>
      </c>
      <c r="I13" s="6"/>
      <c r="J13" s="2"/>
      <c r="K13" s="3"/>
      <c r="Q13" t="str">
        <f>PayRoll!A12</f>
        <v>МАЯ МАТАНСКА</v>
      </c>
      <c r="R13" s="23">
        <f>PayRoll!H12</f>
        <v>1200</v>
      </c>
      <c r="S13" s="36">
        <f t="shared" si="0"/>
        <v>4300</v>
      </c>
    </row>
    <row r="14" spans="1:19" ht="19" x14ac:dyDescent="0.25">
      <c r="A14" s="19" t="s">
        <v>281</v>
      </c>
      <c r="B14" s="9"/>
      <c r="C14" s="10"/>
      <c r="D14" s="20"/>
      <c r="E14" s="12" t="s">
        <v>278</v>
      </c>
      <c r="F14" s="21"/>
      <c r="G14" s="21"/>
      <c r="H14" s="13">
        <v>200</v>
      </c>
      <c r="I14" s="6"/>
      <c r="J14" s="2"/>
      <c r="K14" s="3"/>
      <c r="Q14" t="str">
        <f>PayRoll!A13</f>
        <v>ПЕТЯ ПАВЛОВА</v>
      </c>
      <c r="R14" s="23">
        <f>PayRoll!H13</f>
        <v>1463.2</v>
      </c>
      <c r="S14" s="36">
        <f t="shared" si="0"/>
        <v>0</v>
      </c>
    </row>
    <row r="15" spans="1:19" ht="19" x14ac:dyDescent="0.25">
      <c r="A15" s="19" t="s">
        <v>50</v>
      </c>
      <c r="B15" s="19" t="s">
        <v>338</v>
      </c>
      <c r="C15" s="10" t="s">
        <v>3</v>
      </c>
      <c r="D15" s="11"/>
      <c r="E15" s="12" t="s">
        <v>76</v>
      </c>
      <c r="F15" s="21" t="s">
        <v>4</v>
      </c>
      <c r="G15" s="12"/>
      <c r="H15" s="18">
        <v>0</v>
      </c>
      <c r="I15" s="6"/>
      <c r="J15" s="2"/>
      <c r="K15" s="3"/>
      <c r="Q15" t="str">
        <f>PayRoll!A14</f>
        <v>РАДКА НИКОЛОВА</v>
      </c>
      <c r="R15" s="23">
        <f>PayRoll!H14</f>
        <v>2350.69164</v>
      </c>
      <c r="S15" s="36">
        <f t="shared" si="0"/>
        <v>1700</v>
      </c>
    </row>
    <row r="16" spans="1:19" ht="19" x14ac:dyDescent="0.25">
      <c r="A16" s="19" t="s">
        <v>177</v>
      </c>
      <c r="B16" s="9" t="s">
        <v>338</v>
      </c>
      <c r="C16" s="10" t="s">
        <v>3</v>
      </c>
      <c r="D16" s="20" t="s">
        <v>178</v>
      </c>
      <c r="E16" s="12" t="s">
        <v>76</v>
      </c>
      <c r="F16" s="21" t="s">
        <v>96</v>
      </c>
      <c r="G16" s="12"/>
      <c r="H16" s="13">
        <v>0</v>
      </c>
      <c r="I16" s="6"/>
      <c r="J16" s="2"/>
      <c r="K16" s="3"/>
      <c r="Q16" t="str">
        <f>PayRoll!A15</f>
        <v>СИЛВИЯ СТОЯНЧЕВА</v>
      </c>
      <c r="R16" s="23">
        <f>PayRoll!H15</f>
        <v>1513.2</v>
      </c>
      <c r="S16" s="36">
        <f t="shared" si="0"/>
        <v>0</v>
      </c>
    </row>
    <row r="17" spans="1:19" ht="19" x14ac:dyDescent="0.25">
      <c r="A17" s="19" t="s">
        <v>227</v>
      </c>
      <c r="B17" s="19" t="s">
        <v>339</v>
      </c>
      <c r="C17" s="10" t="s">
        <v>2</v>
      </c>
      <c r="D17" s="20" t="s">
        <v>1</v>
      </c>
      <c r="E17" s="21"/>
      <c r="F17" s="21" t="s">
        <v>4</v>
      </c>
      <c r="G17" s="77"/>
      <c r="H17" s="18">
        <v>1600</v>
      </c>
      <c r="I17" s="6" t="s">
        <v>86</v>
      </c>
      <c r="J17" s="2" t="s">
        <v>100</v>
      </c>
      <c r="K17" s="3"/>
      <c r="Q17" t="str">
        <f>PayRoll!A16</f>
        <v>СИЛВИЯ ИВАНОВА</v>
      </c>
      <c r="R17" s="23">
        <f>PayRoll!H16</f>
        <v>1463.2</v>
      </c>
      <c r="S17" s="36">
        <f t="shared" si="0"/>
        <v>0</v>
      </c>
    </row>
    <row r="18" spans="1:19" x14ac:dyDescent="0.2">
      <c r="A18" s="19" t="s">
        <v>34</v>
      </c>
      <c r="B18" s="19" t="s">
        <v>339</v>
      </c>
      <c r="C18" s="10" t="s">
        <v>2</v>
      </c>
      <c r="D18" s="11" t="s">
        <v>1</v>
      </c>
      <c r="E18" s="21"/>
      <c r="F18" s="21" t="s">
        <v>6</v>
      </c>
      <c r="G18" s="21"/>
      <c r="H18" s="18">
        <v>880</v>
      </c>
      <c r="I18" s="6" t="s">
        <v>86</v>
      </c>
      <c r="J18" s="2" t="s">
        <v>94</v>
      </c>
      <c r="K18" s="3"/>
      <c r="R18" s="23">
        <f>SUM(R3:R17)</f>
        <v>21630.891640000005</v>
      </c>
    </row>
    <row r="19" spans="1:19" x14ac:dyDescent="0.2">
      <c r="A19" s="9" t="s">
        <v>109</v>
      </c>
      <c r="B19" s="19"/>
      <c r="C19" s="10" t="s">
        <v>3</v>
      </c>
      <c r="D19" s="11" t="s">
        <v>110</v>
      </c>
      <c r="E19" s="12" t="s">
        <v>76</v>
      </c>
      <c r="F19" s="12" t="s">
        <v>96</v>
      </c>
      <c r="G19" s="12"/>
      <c r="H19" s="18">
        <v>0</v>
      </c>
      <c r="I19" s="5"/>
      <c r="J19" s="2"/>
      <c r="K19" s="2"/>
    </row>
    <row r="20" spans="1:19" x14ac:dyDescent="0.2">
      <c r="A20" s="19" t="s">
        <v>111</v>
      </c>
      <c r="B20" s="9"/>
      <c r="C20" s="10" t="s">
        <v>3</v>
      </c>
      <c r="D20" s="20" t="s">
        <v>112</v>
      </c>
      <c r="E20" s="12" t="s">
        <v>76</v>
      </c>
      <c r="F20" s="21" t="s">
        <v>96</v>
      </c>
      <c r="G20" s="21"/>
      <c r="H20" s="13">
        <v>0</v>
      </c>
      <c r="I20" s="6"/>
      <c r="J20" s="2"/>
      <c r="K20" s="3"/>
    </row>
    <row r="21" spans="1:19" x14ac:dyDescent="0.2">
      <c r="A21" s="19" t="s">
        <v>113</v>
      </c>
      <c r="B21" s="19"/>
      <c r="C21" s="10" t="s">
        <v>3</v>
      </c>
      <c r="D21" s="20"/>
      <c r="E21" s="12" t="s">
        <v>76</v>
      </c>
      <c r="F21" s="21" t="s">
        <v>4</v>
      </c>
      <c r="G21" s="12"/>
      <c r="H21" s="18">
        <v>0</v>
      </c>
      <c r="I21" s="6"/>
      <c r="J21" s="2"/>
      <c r="K21" s="3"/>
    </row>
    <row r="22" spans="1:19" x14ac:dyDescent="0.2">
      <c r="A22" s="19" t="s">
        <v>114</v>
      </c>
      <c r="B22" s="9"/>
      <c r="C22" s="10" t="s">
        <v>3</v>
      </c>
      <c r="D22" s="20"/>
      <c r="E22" s="12" t="s">
        <v>76</v>
      </c>
      <c r="F22" s="21" t="s">
        <v>4</v>
      </c>
      <c r="G22" s="21"/>
      <c r="H22" s="13">
        <v>0</v>
      </c>
      <c r="I22" s="6"/>
      <c r="J22" s="2"/>
      <c r="K22" s="3"/>
    </row>
    <row r="23" spans="1:19" x14ac:dyDescent="0.2">
      <c r="A23" s="9" t="s">
        <v>115</v>
      </c>
      <c r="B23" s="19"/>
      <c r="C23" s="10" t="s">
        <v>3</v>
      </c>
      <c r="D23" s="11" t="s">
        <v>116</v>
      </c>
      <c r="E23" s="12" t="s">
        <v>76</v>
      </c>
      <c r="F23" s="12" t="s">
        <v>96</v>
      </c>
      <c r="G23" s="12"/>
      <c r="H23" s="18">
        <v>0</v>
      </c>
      <c r="I23" s="5"/>
      <c r="J23" s="2"/>
      <c r="K23" s="2"/>
    </row>
    <row r="24" spans="1:19" x14ac:dyDescent="0.2">
      <c r="A24" s="19" t="s">
        <v>117</v>
      </c>
      <c r="B24" s="9"/>
      <c r="C24" s="10" t="s">
        <v>3</v>
      </c>
      <c r="D24" s="20" t="s">
        <v>118</v>
      </c>
      <c r="E24" s="12" t="s">
        <v>76</v>
      </c>
      <c r="F24" s="21" t="s">
        <v>96</v>
      </c>
      <c r="G24" s="21"/>
      <c r="H24" s="13">
        <v>0</v>
      </c>
      <c r="I24" s="6"/>
      <c r="J24" s="2"/>
      <c r="K24" s="3"/>
    </row>
    <row r="25" spans="1:19" x14ac:dyDescent="0.2">
      <c r="A25" s="9" t="s">
        <v>59</v>
      </c>
      <c r="B25" s="19" t="s">
        <v>340</v>
      </c>
      <c r="C25" s="10" t="s">
        <v>2</v>
      </c>
      <c r="D25" s="11" t="s">
        <v>119</v>
      </c>
      <c r="E25" s="12"/>
      <c r="F25" s="12" t="s">
        <v>4</v>
      </c>
      <c r="G25" s="12"/>
      <c r="H25" s="18">
        <v>1500</v>
      </c>
      <c r="I25" s="5" t="s">
        <v>86</v>
      </c>
      <c r="J25" s="2" t="s">
        <v>100</v>
      </c>
      <c r="K25" s="2"/>
    </row>
    <row r="26" spans="1:19" x14ac:dyDescent="0.2">
      <c r="A26" s="19" t="s">
        <v>120</v>
      </c>
      <c r="B26" s="9" t="s">
        <v>337</v>
      </c>
      <c r="C26" s="10" t="s">
        <v>2</v>
      </c>
      <c r="D26" s="11" t="s">
        <v>1</v>
      </c>
      <c r="E26" s="21" t="s">
        <v>76</v>
      </c>
      <c r="F26" s="21" t="s">
        <v>6</v>
      </c>
      <c r="G26" s="21"/>
      <c r="H26" s="13">
        <v>400</v>
      </c>
      <c r="I26" s="6" t="s">
        <v>86</v>
      </c>
      <c r="J26" s="2" t="s">
        <v>87</v>
      </c>
      <c r="K26" s="3"/>
    </row>
    <row r="27" spans="1:19" x14ac:dyDescent="0.2">
      <c r="A27" s="9" t="s">
        <v>121</v>
      </c>
      <c r="B27" s="19" t="s">
        <v>337</v>
      </c>
      <c r="C27" s="10" t="s">
        <v>2</v>
      </c>
      <c r="D27" s="11" t="s">
        <v>1</v>
      </c>
      <c r="E27" s="12" t="s">
        <v>5</v>
      </c>
      <c r="F27" s="12" t="s">
        <v>4</v>
      </c>
      <c r="G27" s="78"/>
      <c r="H27" s="18">
        <v>0</v>
      </c>
      <c r="I27" s="5"/>
      <c r="J27" s="2"/>
      <c r="K27" s="2"/>
    </row>
    <row r="28" spans="1:19" x14ac:dyDescent="0.2">
      <c r="A28" s="19" t="s">
        <v>122</v>
      </c>
      <c r="B28" s="9" t="s">
        <v>337</v>
      </c>
      <c r="C28" s="10" t="s">
        <v>2</v>
      </c>
      <c r="D28" s="20" t="s">
        <v>1</v>
      </c>
      <c r="E28" s="21" t="s">
        <v>76</v>
      </c>
      <c r="F28" s="21" t="s">
        <v>4</v>
      </c>
      <c r="G28" s="21"/>
      <c r="H28" s="13">
        <v>200</v>
      </c>
      <c r="I28" s="6" t="s">
        <v>86</v>
      </c>
      <c r="J28" s="2" t="s">
        <v>94</v>
      </c>
      <c r="K28" s="3"/>
    </row>
    <row r="29" spans="1:19" x14ac:dyDescent="0.2">
      <c r="A29" s="9" t="s">
        <v>123</v>
      </c>
      <c r="B29" s="19" t="s">
        <v>337</v>
      </c>
      <c r="C29" s="10" t="s">
        <v>2</v>
      </c>
      <c r="D29" s="11" t="s">
        <v>1</v>
      </c>
      <c r="E29" s="21"/>
      <c r="F29" s="21" t="s">
        <v>6</v>
      </c>
      <c r="G29" s="78"/>
      <c r="H29" s="18">
        <v>100</v>
      </c>
      <c r="I29" s="6"/>
      <c r="J29" s="2"/>
      <c r="K29" s="3"/>
    </row>
    <row r="30" spans="1:19" x14ac:dyDescent="0.2">
      <c r="A30" s="19" t="s">
        <v>73</v>
      </c>
      <c r="B30" s="19" t="s">
        <v>339</v>
      </c>
      <c r="C30" s="10" t="s">
        <v>2</v>
      </c>
      <c r="D30" s="20" t="s">
        <v>229</v>
      </c>
      <c r="E30" s="21"/>
      <c r="F30" s="21" t="s">
        <v>6</v>
      </c>
      <c r="G30" s="77"/>
      <c r="H30" s="18">
        <v>850</v>
      </c>
      <c r="I30" s="6" t="s">
        <v>86</v>
      </c>
      <c r="J30" s="2" t="s">
        <v>100</v>
      </c>
      <c r="K30" s="3"/>
    </row>
    <row r="31" spans="1:19" x14ac:dyDescent="0.2">
      <c r="A31" s="81" t="s">
        <v>125</v>
      </c>
      <c r="B31" s="19"/>
      <c r="C31" s="10" t="s">
        <v>2</v>
      </c>
      <c r="D31" s="11" t="s">
        <v>126</v>
      </c>
      <c r="E31" s="21" t="s">
        <v>7</v>
      </c>
      <c r="F31" s="21" t="s">
        <v>6</v>
      </c>
      <c r="G31" s="12"/>
      <c r="H31" s="18">
        <v>0</v>
      </c>
      <c r="I31" s="6" t="s">
        <v>86</v>
      </c>
      <c r="J31" s="2" t="s">
        <v>87</v>
      </c>
      <c r="K31" s="3"/>
    </row>
    <row r="32" spans="1:19" x14ac:dyDescent="0.2">
      <c r="A32" s="19" t="s">
        <v>16</v>
      </c>
      <c r="B32" s="9" t="s">
        <v>337</v>
      </c>
      <c r="C32" s="10" t="s">
        <v>2</v>
      </c>
      <c r="D32" s="11" t="s">
        <v>1</v>
      </c>
      <c r="E32" s="21" t="s">
        <v>76</v>
      </c>
      <c r="F32" s="21" t="s">
        <v>6</v>
      </c>
      <c r="G32" s="21"/>
      <c r="H32" s="13">
        <v>300</v>
      </c>
      <c r="I32" s="6" t="s">
        <v>86</v>
      </c>
      <c r="J32" s="2" t="s">
        <v>94</v>
      </c>
      <c r="K32" s="3"/>
    </row>
    <row r="33" spans="1:11" x14ac:dyDescent="0.2">
      <c r="A33" s="9" t="s">
        <v>17</v>
      </c>
      <c r="B33" s="19" t="s">
        <v>340</v>
      </c>
      <c r="C33" s="10" t="s">
        <v>2</v>
      </c>
      <c r="D33" s="11" t="s">
        <v>127</v>
      </c>
      <c r="E33" s="12" t="s">
        <v>7</v>
      </c>
      <c r="F33" s="12" t="s">
        <v>4</v>
      </c>
      <c r="G33" s="12"/>
      <c r="H33" s="18">
        <v>800</v>
      </c>
      <c r="I33" s="5" t="s">
        <v>93</v>
      </c>
      <c r="J33" s="2" t="s">
        <v>94</v>
      </c>
      <c r="K33" s="2"/>
    </row>
    <row r="34" spans="1:11" x14ac:dyDescent="0.2">
      <c r="A34" s="19" t="s">
        <v>61</v>
      </c>
      <c r="B34" s="9" t="s">
        <v>337</v>
      </c>
      <c r="C34" s="10" t="s">
        <v>2</v>
      </c>
      <c r="D34" s="20" t="s">
        <v>1</v>
      </c>
      <c r="E34" s="21"/>
      <c r="F34" s="21" t="s">
        <v>4</v>
      </c>
      <c r="G34" s="77"/>
      <c r="H34" s="13">
        <v>210</v>
      </c>
      <c r="I34" s="6" t="s">
        <v>86</v>
      </c>
      <c r="J34" s="2" t="s">
        <v>128</v>
      </c>
      <c r="K34" s="3"/>
    </row>
    <row r="35" spans="1:11" x14ac:dyDescent="0.2">
      <c r="A35" s="19" t="s">
        <v>74</v>
      </c>
      <c r="B35" s="9" t="s">
        <v>338</v>
      </c>
      <c r="C35" s="10" t="s">
        <v>2</v>
      </c>
      <c r="D35" s="20" t="s">
        <v>236</v>
      </c>
      <c r="E35" s="21"/>
      <c r="F35" s="21" t="s">
        <v>6</v>
      </c>
      <c r="G35" s="12"/>
      <c r="H35" s="13">
        <v>500</v>
      </c>
      <c r="I35" s="6" t="s">
        <v>86</v>
      </c>
      <c r="J35" s="2" t="s">
        <v>100</v>
      </c>
      <c r="K35" s="3"/>
    </row>
    <row r="36" spans="1:11" x14ac:dyDescent="0.2">
      <c r="A36" s="19" t="s">
        <v>130</v>
      </c>
      <c r="B36" s="9" t="s">
        <v>337</v>
      </c>
      <c r="C36" s="10" t="s">
        <v>2</v>
      </c>
      <c r="D36" s="20" t="s">
        <v>1</v>
      </c>
      <c r="E36" s="21" t="s">
        <v>76</v>
      </c>
      <c r="F36" s="21" t="s">
        <v>4</v>
      </c>
      <c r="G36" s="21"/>
      <c r="H36" s="13">
        <v>0</v>
      </c>
      <c r="I36" s="6" t="s">
        <v>86</v>
      </c>
      <c r="J36" s="2" t="s">
        <v>94</v>
      </c>
      <c r="K36" s="3"/>
    </row>
    <row r="37" spans="1:11" x14ac:dyDescent="0.2">
      <c r="A37" s="9" t="s">
        <v>131</v>
      </c>
      <c r="B37" s="19"/>
      <c r="C37" s="10" t="s">
        <v>3</v>
      </c>
      <c r="D37" s="11" t="s">
        <v>132</v>
      </c>
      <c r="E37" s="12" t="s">
        <v>76</v>
      </c>
      <c r="F37" s="12" t="s">
        <v>96</v>
      </c>
      <c r="G37" s="12"/>
      <c r="H37" s="18">
        <v>0</v>
      </c>
      <c r="I37" s="5"/>
      <c r="J37" s="2"/>
      <c r="K37" s="2"/>
    </row>
    <row r="38" spans="1:11" x14ac:dyDescent="0.2">
      <c r="A38" s="19" t="s">
        <v>62</v>
      </c>
      <c r="B38" s="9" t="s">
        <v>340</v>
      </c>
      <c r="C38" s="10" t="s">
        <v>2</v>
      </c>
      <c r="D38" s="20" t="s">
        <v>133</v>
      </c>
      <c r="E38" s="21"/>
      <c r="F38" s="21" t="s">
        <v>4</v>
      </c>
      <c r="G38" s="21"/>
      <c r="H38" s="13">
        <v>1000</v>
      </c>
      <c r="I38" s="6" t="s">
        <v>86</v>
      </c>
      <c r="J38" s="2" t="s">
        <v>94</v>
      </c>
      <c r="K38" s="3"/>
    </row>
    <row r="39" spans="1:11" x14ac:dyDescent="0.2">
      <c r="A39" s="9" t="s">
        <v>134</v>
      </c>
      <c r="B39" s="19" t="s">
        <v>337</v>
      </c>
      <c r="C39" s="10" t="s">
        <v>2</v>
      </c>
      <c r="D39" s="11" t="s">
        <v>1</v>
      </c>
      <c r="E39" s="12" t="s">
        <v>9</v>
      </c>
      <c r="F39" s="12" t="s">
        <v>6</v>
      </c>
      <c r="G39" s="78"/>
      <c r="H39" s="18">
        <v>500</v>
      </c>
      <c r="I39" s="5" t="s">
        <v>86</v>
      </c>
      <c r="J39" s="2" t="s">
        <v>88</v>
      </c>
      <c r="K39" s="2"/>
    </row>
    <row r="40" spans="1:11" x14ac:dyDescent="0.2">
      <c r="A40" s="19" t="s">
        <v>19</v>
      </c>
      <c r="B40" s="9" t="s">
        <v>337</v>
      </c>
      <c r="C40" s="10" t="s">
        <v>2</v>
      </c>
      <c r="D40" s="11" t="s">
        <v>1</v>
      </c>
      <c r="E40" s="21" t="s">
        <v>76</v>
      </c>
      <c r="F40" s="21" t="s">
        <v>6</v>
      </c>
      <c r="G40" s="21"/>
      <c r="H40" s="13">
        <v>200</v>
      </c>
      <c r="I40" s="6" t="s">
        <v>86</v>
      </c>
      <c r="J40" s="2" t="s">
        <v>88</v>
      </c>
      <c r="K40" s="3"/>
    </row>
    <row r="41" spans="1:11" x14ac:dyDescent="0.2">
      <c r="A41" s="19" t="s">
        <v>36</v>
      </c>
      <c r="B41" s="9" t="s">
        <v>338</v>
      </c>
      <c r="C41" s="10" t="s">
        <v>192</v>
      </c>
      <c r="D41" s="20"/>
      <c r="E41" s="12" t="s">
        <v>96</v>
      </c>
      <c r="F41" s="21" t="s">
        <v>96</v>
      </c>
      <c r="G41" s="12"/>
      <c r="H41" s="13">
        <v>0</v>
      </c>
      <c r="I41" s="6" t="s">
        <v>86</v>
      </c>
      <c r="J41" s="2" t="s">
        <v>100</v>
      </c>
      <c r="K41" s="3"/>
    </row>
    <row r="42" spans="1:11" x14ac:dyDescent="0.2">
      <c r="A42" s="9" t="s">
        <v>135</v>
      </c>
      <c r="B42" s="9" t="s">
        <v>337</v>
      </c>
      <c r="C42" s="10" t="s">
        <v>3</v>
      </c>
      <c r="D42" s="11" t="s">
        <v>136</v>
      </c>
      <c r="E42" s="12" t="s">
        <v>76</v>
      </c>
      <c r="F42" s="12" t="s">
        <v>96</v>
      </c>
      <c r="G42" s="21"/>
      <c r="H42" s="13">
        <v>0</v>
      </c>
      <c r="I42" s="5"/>
      <c r="J42" s="2"/>
      <c r="K42" s="2"/>
    </row>
    <row r="43" spans="1:11" x14ac:dyDescent="0.2">
      <c r="A43" s="19" t="s">
        <v>137</v>
      </c>
      <c r="B43" s="19" t="s">
        <v>337</v>
      </c>
      <c r="C43" s="10" t="s">
        <v>2</v>
      </c>
      <c r="D43" s="20" t="s">
        <v>1</v>
      </c>
      <c r="E43" s="21" t="s">
        <v>9</v>
      </c>
      <c r="F43" s="21" t="s">
        <v>96</v>
      </c>
      <c r="G43" s="78"/>
      <c r="H43" s="18">
        <v>200</v>
      </c>
      <c r="I43" s="6" t="s">
        <v>86</v>
      </c>
      <c r="J43" s="2" t="s">
        <v>87</v>
      </c>
      <c r="K43" s="3"/>
    </row>
    <row r="44" spans="1:11" x14ac:dyDescent="0.2">
      <c r="A44" s="9" t="s">
        <v>18</v>
      </c>
      <c r="B44" s="9" t="s">
        <v>337</v>
      </c>
      <c r="C44" s="10" t="s">
        <v>2</v>
      </c>
      <c r="D44" s="11" t="s">
        <v>1</v>
      </c>
      <c r="E44" s="12" t="s">
        <v>76</v>
      </c>
      <c r="F44" s="12" t="s">
        <v>6</v>
      </c>
      <c r="G44" s="21"/>
      <c r="H44" s="13">
        <v>0</v>
      </c>
      <c r="I44" s="5" t="s">
        <v>86</v>
      </c>
      <c r="J44" s="2" t="s">
        <v>87</v>
      </c>
      <c r="K44" s="2"/>
    </row>
    <row r="45" spans="1:11" x14ac:dyDescent="0.2">
      <c r="A45" s="19" t="s">
        <v>63</v>
      </c>
      <c r="B45" s="19" t="s">
        <v>337</v>
      </c>
      <c r="C45" s="10" t="s">
        <v>2</v>
      </c>
      <c r="D45" s="20" t="s">
        <v>138</v>
      </c>
      <c r="E45" s="21"/>
      <c r="F45" s="21" t="s">
        <v>6</v>
      </c>
      <c r="G45" s="12"/>
      <c r="H45" s="18">
        <v>200</v>
      </c>
      <c r="I45" s="6" t="s">
        <v>86</v>
      </c>
      <c r="J45" s="2" t="s">
        <v>100</v>
      </c>
      <c r="K45" s="3"/>
    </row>
    <row r="46" spans="1:11" x14ac:dyDescent="0.2">
      <c r="A46" s="9" t="s">
        <v>20</v>
      </c>
      <c r="B46" s="9" t="s">
        <v>337</v>
      </c>
      <c r="C46" s="10" t="s">
        <v>2</v>
      </c>
      <c r="D46" s="11" t="s">
        <v>139</v>
      </c>
      <c r="E46" s="12"/>
      <c r="F46" s="12" t="s">
        <v>6</v>
      </c>
      <c r="G46" s="21"/>
      <c r="H46" s="13">
        <v>300</v>
      </c>
      <c r="I46" s="5" t="s">
        <v>86</v>
      </c>
      <c r="J46" s="2" t="s">
        <v>100</v>
      </c>
      <c r="K46" s="2"/>
    </row>
    <row r="47" spans="1:11" x14ac:dyDescent="0.2">
      <c r="A47" s="9" t="s">
        <v>140</v>
      </c>
      <c r="B47" s="19" t="s">
        <v>337</v>
      </c>
      <c r="C47" s="10" t="s">
        <v>2</v>
      </c>
      <c r="D47" s="20" t="s">
        <v>1</v>
      </c>
      <c r="E47" s="21" t="s">
        <v>76</v>
      </c>
      <c r="F47" s="21" t="s">
        <v>6</v>
      </c>
      <c r="G47" s="12"/>
      <c r="H47" s="18">
        <v>100</v>
      </c>
      <c r="I47" s="6"/>
      <c r="J47" s="2"/>
      <c r="K47" s="3"/>
    </row>
    <row r="48" spans="1:11" x14ac:dyDescent="0.2">
      <c r="A48" s="19" t="s">
        <v>21</v>
      </c>
      <c r="B48" s="9" t="s">
        <v>337</v>
      </c>
      <c r="C48" s="10" t="s">
        <v>2</v>
      </c>
      <c r="D48" s="20" t="s">
        <v>1</v>
      </c>
      <c r="E48" s="12" t="s">
        <v>5</v>
      </c>
      <c r="F48" s="12" t="s">
        <v>6</v>
      </c>
      <c r="G48" s="21"/>
      <c r="H48" s="13">
        <v>350</v>
      </c>
      <c r="I48" s="5" t="s">
        <v>86</v>
      </c>
      <c r="J48" s="2" t="s">
        <v>100</v>
      </c>
      <c r="K48" s="2"/>
    </row>
    <row r="49" spans="1:11" x14ac:dyDescent="0.2">
      <c r="A49" s="19" t="s">
        <v>250</v>
      </c>
      <c r="B49" s="9" t="s">
        <v>339</v>
      </c>
      <c r="C49" s="10" t="s">
        <v>2</v>
      </c>
      <c r="D49" s="20" t="s">
        <v>1</v>
      </c>
      <c r="E49" s="21" t="s">
        <v>5</v>
      </c>
      <c r="F49" s="21" t="s">
        <v>4</v>
      </c>
      <c r="G49" s="78"/>
      <c r="H49" s="13">
        <v>300</v>
      </c>
      <c r="I49" s="6" t="s">
        <v>86</v>
      </c>
      <c r="J49" s="2"/>
      <c r="K49" s="3"/>
    </row>
    <row r="50" spans="1:11" x14ac:dyDescent="0.2">
      <c r="A50" s="19" t="s">
        <v>264</v>
      </c>
      <c r="B50" s="9" t="s">
        <v>339</v>
      </c>
      <c r="C50" s="10" t="s">
        <v>2</v>
      </c>
      <c r="D50" s="20" t="s">
        <v>265</v>
      </c>
      <c r="E50" s="21"/>
      <c r="F50" s="12" t="s">
        <v>6</v>
      </c>
      <c r="G50" s="78"/>
      <c r="H50" s="13">
        <v>200</v>
      </c>
      <c r="I50" s="5" t="s">
        <v>93</v>
      </c>
      <c r="J50" s="2" t="s">
        <v>100</v>
      </c>
      <c r="K50" s="2"/>
    </row>
    <row r="51" spans="1:11" x14ac:dyDescent="0.2">
      <c r="A51" s="19" t="s">
        <v>143</v>
      </c>
      <c r="B51" s="19"/>
      <c r="C51" s="10" t="s">
        <v>3</v>
      </c>
      <c r="D51" s="20" t="s">
        <v>144</v>
      </c>
      <c r="E51" s="12" t="s">
        <v>76</v>
      </c>
      <c r="F51" s="12" t="s">
        <v>96</v>
      </c>
      <c r="G51" s="12"/>
      <c r="H51" s="18">
        <v>0</v>
      </c>
      <c r="I51" s="5"/>
      <c r="J51" s="2"/>
      <c r="K51" s="2"/>
    </row>
    <row r="52" spans="1:11" x14ac:dyDescent="0.2">
      <c r="A52" s="19" t="s">
        <v>47</v>
      </c>
      <c r="B52" s="9" t="s">
        <v>339</v>
      </c>
      <c r="C52" s="10" t="s">
        <v>2</v>
      </c>
      <c r="D52" s="20" t="s">
        <v>1</v>
      </c>
      <c r="E52" s="21" t="s">
        <v>5</v>
      </c>
      <c r="F52" s="21" t="s">
        <v>6</v>
      </c>
      <c r="G52" s="78"/>
      <c r="H52" s="13">
        <v>1700</v>
      </c>
      <c r="I52" s="6" t="s">
        <v>86</v>
      </c>
      <c r="J52" s="2" t="s">
        <v>94</v>
      </c>
      <c r="K52" s="3"/>
    </row>
    <row r="53" spans="1:11" x14ac:dyDescent="0.2">
      <c r="A53" s="19" t="s">
        <v>146</v>
      </c>
      <c r="B53" s="19" t="s">
        <v>337</v>
      </c>
      <c r="C53" s="10" t="s">
        <v>2</v>
      </c>
      <c r="D53" s="20" t="s">
        <v>1</v>
      </c>
      <c r="E53" s="12" t="s">
        <v>96</v>
      </c>
      <c r="F53" s="12" t="s">
        <v>96</v>
      </c>
      <c r="G53" s="12"/>
      <c r="H53" s="18">
        <v>0</v>
      </c>
      <c r="I53" s="5" t="s">
        <v>86</v>
      </c>
      <c r="J53" s="2" t="s">
        <v>87</v>
      </c>
      <c r="K53" s="2"/>
    </row>
    <row r="54" spans="1:11" x14ac:dyDescent="0.2">
      <c r="A54" s="9" t="s">
        <v>147</v>
      </c>
      <c r="B54" s="9" t="s">
        <v>337</v>
      </c>
      <c r="C54" s="10" t="s">
        <v>3</v>
      </c>
      <c r="D54" s="11"/>
      <c r="E54" s="12" t="s">
        <v>76</v>
      </c>
      <c r="F54" s="12" t="s">
        <v>96</v>
      </c>
      <c r="G54" s="21"/>
      <c r="H54" s="13">
        <v>0</v>
      </c>
      <c r="I54" s="5"/>
      <c r="J54" s="2"/>
      <c r="K54" s="2"/>
    </row>
    <row r="55" spans="1:11" x14ac:dyDescent="0.2">
      <c r="A55" s="19" t="s">
        <v>148</v>
      </c>
      <c r="B55" s="19" t="s">
        <v>337</v>
      </c>
      <c r="C55" s="10" t="s">
        <v>2</v>
      </c>
      <c r="D55" s="20" t="s">
        <v>1</v>
      </c>
      <c r="E55" s="12"/>
      <c r="F55" s="12" t="s">
        <v>4</v>
      </c>
      <c r="G55" s="78"/>
      <c r="H55" s="18">
        <v>100</v>
      </c>
      <c r="I55" s="5" t="s">
        <v>86</v>
      </c>
      <c r="J55" s="2" t="s">
        <v>128</v>
      </c>
      <c r="K55" s="2"/>
    </row>
    <row r="56" spans="1:11" x14ac:dyDescent="0.2">
      <c r="A56" s="79" t="s">
        <v>149</v>
      </c>
      <c r="B56" s="9" t="s">
        <v>337</v>
      </c>
      <c r="C56" s="10" t="s">
        <v>2</v>
      </c>
      <c r="D56" s="11" t="s">
        <v>1</v>
      </c>
      <c r="E56" s="21" t="s">
        <v>7</v>
      </c>
      <c r="F56" s="21" t="s">
        <v>4</v>
      </c>
      <c r="G56" s="21"/>
      <c r="H56" s="13">
        <v>200</v>
      </c>
      <c r="I56" s="6"/>
      <c r="J56" s="2"/>
      <c r="K56" s="3"/>
    </row>
    <row r="57" spans="1:11" x14ac:dyDescent="0.2">
      <c r="A57" s="19" t="s">
        <v>64</v>
      </c>
      <c r="B57" s="19" t="s">
        <v>340</v>
      </c>
      <c r="C57" s="10" t="s">
        <v>2</v>
      </c>
      <c r="D57" s="20" t="s">
        <v>150</v>
      </c>
      <c r="E57" s="12" t="s">
        <v>7</v>
      </c>
      <c r="F57" s="12" t="s">
        <v>6</v>
      </c>
      <c r="G57" s="78"/>
      <c r="H57" s="18">
        <v>1000</v>
      </c>
      <c r="I57" s="5" t="s">
        <v>93</v>
      </c>
      <c r="J57" s="2" t="s">
        <v>100</v>
      </c>
      <c r="K57" s="2"/>
    </row>
    <row r="58" spans="1:11" x14ac:dyDescent="0.2">
      <c r="A58" s="80" t="s">
        <v>151</v>
      </c>
      <c r="B58" s="9"/>
      <c r="C58" s="10" t="s">
        <v>152</v>
      </c>
      <c r="D58" s="20" t="s">
        <v>1</v>
      </c>
      <c r="E58" s="12"/>
      <c r="F58" s="12" t="s">
        <v>96</v>
      </c>
      <c r="G58" s="12"/>
      <c r="H58" s="13">
        <v>0</v>
      </c>
      <c r="I58" s="5" t="s">
        <v>86</v>
      </c>
      <c r="J58" s="2" t="s">
        <v>87</v>
      </c>
      <c r="K58" s="2"/>
    </row>
    <row r="59" spans="1:11" x14ac:dyDescent="0.2">
      <c r="A59" s="9" t="s">
        <v>153</v>
      </c>
      <c r="B59" s="19"/>
      <c r="C59" s="10" t="s">
        <v>3</v>
      </c>
      <c r="D59" s="11" t="s">
        <v>154</v>
      </c>
      <c r="E59" s="12" t="s">
        <v>76</v>
      </c>
      <c r="F59" s="21" t="s">
        <v>96</v>
      </c>
      <c r="G59" s="21"/>
      <c r="H59" s="18">
        <v>0</v>
      </c>
      <c r="I59" s="6"/>
      <c r="J59" s="2"/>
      <c r="K59" s="3"/>
    </row>
    <row r="60" spans="1:11" x14ac:dyDescent="0.2">
      <c r="A60" s="80" t="s">
        <v>155</v>
      </c>
      <c r="B60" s="9"/>
      <c r="C60" s="10" t="s">
        <v>3</v>
      </c>
      <c r="D60" s="20" t="s">
        <v>1</v>
      </c>
      <c r="E60" s="12" t="s">
        <v>76</v>
      </c>
      <c r="F60" s="12" t="s">
        <v>96</v>
      </c>
      <c r="G60" s="12"/>
      <c r="H60" s="13">
        <v>0</v>
      </c>
      <c r="I60" s="5"/>
      <c r="J60" s="2"/>
      <c r="K60" s="2"/>
    </row>
    <row r="61" spans="1:11" x14ac:dyDescent="0.2">
      <c r="A61" s="9" t="s">
        <v>156</v>
      </c>
      <c r="B61" s="19"/>
      <c r="C61" s="10" t="s">
        <v>152</v>
      </c>
      <c r="D61" s="11"/>
      <c r="E61" s="21" t="s">
        <v>76</v>
      </c>
      <c r="F61" s="21" t="s">
        <v>6</v>
      </c>
      <c r="G61" s="21"/>
      <c r="H61" s="18">
        <v>0</v>
      </c>
      <c r="I61" s="6" t="s">
        <v>86</v>
      </c>
      <c r="J61" s="2" t="s">
        <v>94</v>
      </c>
      <c r="K61" s="3"/>
    </row>
    <row r="62" spans="1:11" x14ac:dyDescent="0.2">
      <c r="A62" s="19" t="s">
        <v>157</v>
      </c>
      <c r="B62" s="9" t="s">
        <v>337</v>
      </c>
      <c r="C62" s="10" t="s">
        <v>2</v>
      </c>
      <c r="D62" s="20" t="s">
        <v>158</v>
      </c>
      <c r="E62" s="12" t="s">
        <v>8</v>
      </c>
      <c r="F62" s="12" t="s">
        <v>4</v>
      </c>
      <c r="G62" s="12"/>
      <c r="H62" s="13">
        <v>0</v>
      </c>
      <c r="I62" s="5"/>
      <c r="J62" s="2"/>
      <c r="K62" s="2"/>
    </row>
    <row r="63" spans="1:11" x14ac:dyDescent="0.2">
      <c r="A63" s="9" t="s">
        <v>159</v>
      </c>
      <c r="B63" s="19"/>
      <c r="C63" s="10" t="s">
        <v>152</v>
      </c>
      <c r="D63" s="11"/>
      <c r="E63" s="12" t="s">
        <v>96</v>
      </c>
      <c r="F63" s="21" t="s">
        <v>4</v>
      </c>
      <c r="G63" s="21"/>
      <c r="H63" s="18">
        <v>0</v>
      </c>
      <c r="I63" s="6"/>
      <c r="J63" s="2"/>
      <c r="K63" s="3"/>
    </row>
    <row r="64" spans="1:11" x14ac:dyDescent="0.2">
      <c r="A64" s="19" t="s">
        <v>65</v>
      </c>
      <c r="B64" s="9" t="s">
        <v>337</v>
      </c>
      <c r="C64" s="10" t="s">
        <v>2</v>
      </c>
      <c r="D64" s="11" t="s">
        <v>1</v>
      </c>
      <c r="E64" s="21"/>
      <c r="F64" s="21" t="s">
        <v>6</v>
      </c>
      <c r="G64" s="12"/>
      <c r="H64" s="13">
        <v>0</v>
      </c>
      <c r="I64" s="6"/>
      <c r="J64" s="2"/>
      <c r="K64" s="3"/>
    </row>
    <row r="65" spans="1:11" x14ac:dyDescent="0.2">
      <c r="A65" s="9" t="s">
        <v>160</v>
      </c>
      <c r="B65" s="19" t="s">
        <v>337</v>
      </c>
      <c r="C65" s="10" t="s">
        <v>2</v>
      </c>
      <c r="D65" s="11" t="s">
        <v>1</v>
      </c>
      <c r="E65" s="12" t="s">
        <v>5</v>
      </c>
      <c r="F65" s="12" t="s">
        <v>6</v>
      </c>
      <c r="G65" s="21"/>
      <c r="H65" s="18">
        <v>200</v>
      </c>
      <c r="I65" s="5"/>
      <c r="J65" s="2"/>
      <c r="K65" s="2"/>
    </row>
    <row r="66" spans="1:11" x14ac:dyDescent="0.2">
      <c r="A66" s="19" t="s">
        <v>161</v>
      </c>
      <c r="B66" s="9"/>
      <c r="C66" s="10" t="s">
        <v>2</v>
      </c>
      <c r="D66" s="20" t="s">
        <v>162</v>
      </c>
      <c r="E66" s="21" t="s">
        <v>76</v>
      </c>
      <c r="F66" s="21" t="s">
        <v>6</v>
      </c>
      <c r="G66" s="12"/>
      <c r="H66" s="13">
        <v>0</v>
      </c>
      <c r="I66" s="6" t="s">
        <v>86</v>
      </c>
      <c r="J66" s="2" t="s">
        <v>94</v>
      </c>
      <c r="K66" s="3"/>
    </row>
    <row r="67" spans="1:11" x14ac:dyDescent="0.2">
      <c r="A67" s="9" t="s">
        <v>163</v>
      </c>
      <c r="B67" s="19" t="s">
        <v>337</v>
      </c>
      <c r="C67" s="10" t="s">
        <v>2</v>
      </c>
      <c r="D67" s="11" t="s">
        <v>164</v>
      </c>
      <c r="E67" s="12" t="s">
        <v>7</v>
      </c>
      <c r="F67" s="12" t="s">
        <v>6</v>
      </c>
      <c r="G67" s="21"/>
      <c r="H67" s="18">
        <v>0</v>
      </c>
      <c r="I67" s="5" t="s">
        <v>86</v>
      </c>
      <c r="J67" s="2" t="s">
        <v>128</v>
      </c>
      <c r="K67" s="2"/>
    </row>
    <row r="68" spans="1:11" x14ac:dyDescent="0.2">
      <c r="A68" s="19" t="s">
        <v>165</v>
      </c>
      <c r="B68" s="9" t="s">
        <v>337</v>
      </c>
      <c r="C68" s="10" t="s">
        <v>152</v>
      </c>
      <c r="D68" s="20"/>
      <c r="E68" s="21" t="s">
        <v>7</v>
      </c>
      <c r="F68" s="21" t="s">
        <v>6</v>
      </c>
      <c r="G68" s="12"/>
      <c r="H68" s="13">
        <v>0</v>
      </c>
      <c r="I68" s="6"/>
      <c r="J68" s="2"/>
      <c r="K68" s="3"/>
    </row>
    <row r="69" spans="1:11" x14ac:dyDescent="0.2">
      <c r="A69" s="9" t="s">
        <v>166</v>
      </c>
      <c r="B69" s="19" t="s">
        <v>337</v>
      </c>
      <c r="C69" s="10" t="s">
        <v>152</v>
      </c>
      <c r="D69" s="11" t="s">
        <v>1</v>
      </c>
      <c r="E69" s="12" t="s">
        <v>96</v>
      </c>
      <c r="F69" s="12" t="s">
        <v>4</v>
      </c>
      <c r="G69" s="21"/>
      <c r="H69" s="18">
        <v>0</v>
      </c>
      <c r="I69" s="5" t="s">
        <v>86</v>
      </c>
      <c r="J69" s="2" t="s">
        <v>87</v>
      </c>
      <c r="K69" s="2"/>
    </row>
    <row r="70" spans="1:11" x14ac:dyDescent="0.2">
      <c r="A70" s="19" t="s">
        <v>66</v>
      </c>
      <c r="B70" s="9" t="s">
        <v>337</v>
      </c>
      <c r="C70" s="10" t="s">
        <v>2</v>
      </c>
      <c r="D70" s="20" t="s">
        <v>167</v>
      </c>
      <c r="E70" s="21" t="s">
        <v>96</v>
      </c>
      <c r="F70" s="21" t="s">
        <v>96</v>
      </c>
      <c r="G70" s="78"/>
      <c r="H70" s="13">
        <v>1700</v>
      </c>
      <c r="I70" s="6"/>
      <c r="J70" s="2"/>
      <c r="K70" s="3"/>
    </row>
    <row r="71" spans="1:11" x14ac:dyDescent="0.2">
      <c r="A71" s="9" t="s">
        <v>23</v>
      </c>
      <c r="B71" s="19" t="s">
        <v>337</v>
      </c>
      <c r="C71" s="10" t="s">
        <v>2</v>
      </c>
      <c r="D71" s="11" t="s">
        <v>1</v>
      </c>
      <c r="E71" s="12" t="s">
        <v>8</v>
      </c>
      <c r="F71" s="12" t="s">
        <v>4</v>
      </c>
      <c r="G71" s="77"/>
      <c r="H71" s="18">
        <v>250</v>
      </c>
      <c r="I71" s="5" t="s">
        <v>93</v>
      </c>
      <c r="J71" s="2" t="s">
        <v>128</v>
      </c>
      <c r="K71" s="2"/>
    </row>
    <row r="72" spans="1:11" x14ac:dyDescent="0.2">
      <c r="A72" s="19" t="s">
        <v>24</v>
      </c>
      <c r="B72" s="9" t="s">
        <v>337</v>
      </c>
      <c r="C72" s="10" t="s">
        <v>2</v>
      </c>
      <c r="D72" s="20" t="s">
        <v>1</v>
      </c>
      <c r="E72" s="21" t="s">
        <v>8</v>
      </c>
      <c r="F72" s="21" t="s">
        <v>4</v>
      </c>
      <c r="G72" s="78"/>
      <c r="H72" s="13">
        <v>2000</v>
      </c>
      <c r="I72" s="6" t="s">
        <v>93</v>
      </c>
      <c r="J72" s="2" t="s">
        <v>128</v>
      </c>
      <c r="K72" s="3"/>
    </row>
    <row r="73" spans="1:11" x14ac:dyDescent="0.2">
      <c r="A73" s="19" t="s">
        <v>51</v>
      </c>
      <c r="B73" s="19"/>
      <c r="C73" s="10" t="s">
        <v>3</v>
      </c>
      <c r="D73" s="20"/>
      <c r="E73" s="12" t="s">
        <v>76</v>
      </c>
      <c r="F73" s="21" t="s">
        <v>4</v>
      </c>
      <c r="G73" s="21"/>
      <c r="H73" s="18">
        <v>0</v>
      </c>
      <c r="I73" s="6"/>
      <c r="J73" s="2"/>
      <c r="K73" s="3"/>
    </row>
    <row r="74" spans="1:11" x14ac:dyDescent="0.2">
      <c r="A74" s="9" t="s">
        <v>25</v>
      </c>
      <c r="B74" s="9" t="s">
        <v>337</v>
      </c>
      <c r="C74" s="10" t="s">
        <v>2</v>
      </c>
      <c r="D74" s="20" t="s">
        <v>1</v>
      </c>
      <c r="E74" s="12" t="s">
        <v>5</v>
      </c>
      <c r="F74" s="12" t="s">
        <v>6</v>
      </c>
      <c r="G74" s="12"/>
      <c r="H74" s="13">
        <v>200</v>
      </c>
      <c r="I74" s="5" t="s">
        <v>86</v>
      </c>
      <c r="J74" s="2" t="s">
        <v>128</v>
      </c>
      <c r="K74" s="2"/>
    </row>
    <row r="75" spans="1:11" x14ac:dyDescent="0.2">
      <c r="A75" s="19" t="s">
        <v>168</v>
      </c>
      <c r="B75" s="19"/>
      <c r="C75" s="10" t="s">
        <v>2</v>
      </c>
      <c r="D75" s="20"/>
      <c r="E75" s="21" t="s">
        <v>6</v>
      </c>
      <c r="F75" s="21" t="s">
        <v>6</v>
      </c>
      <c r="G75" s="21"/>
      <c r="H75" s="18">
        <v>0</v>
      </c>
      <c r="I75" s="6"/>
      <c r="J75" s="2"/>
      <c r="K75" s="3"/>
    </row>
    <row r="76" spans="1:11" x14ac:dyDescent="0.2">
      <c r="A76" s="9" t="s">
        <v>67</v>
      </c>
      <c r="B76" s="9" t="s">
        <v>337</v>
      </c>
      <c r="C76" s="10" t="s">
        <v>2</v>
      </c>
      <c r="D76" s="11" t="s">
        <v>169</v>
      </c>
      <c r="E76" s="12" t="s">
        <v>9</v>
      </c>
      <c r="F76" s="12" t="s">
        <v>96</v>
      </c>
      <c r="G76" s="78"/>
      <c r="H76" s="13">
        <v>1000</v>
      </c>
      <c r="I76" s="5" t="s">
        <v>86</v>
      </c>
      <c r="J76" s="2" t="s">
        <v>87</v>
      </c>
      <c r="K76" s="2"/>
    </row>
    <row r="77" spans="1:11" x14ac:dyDescent="0.2">
      <c r="A77" s="9" t="s">
        <v>58</v>
      </c>
      <c r="B77" s="9" t="s">
        <v>339</v>
      </c>
      <c r="C77" s="10" t="s">
        <v>2</v>
      </c>
      <c r="D77" s="11" t="s">
        <v>1</v>
      </c>
      <c r="E77" s="12" t="s">
        <v>5</v>
      </c>
      <c r="F77" s="12" t="s">
        <v>4</v>
      </c>
      <c r="G77" s="78"/>
      <c r="H77" s="13">
        <v>600</v>
      </c>
      <c r="I77" s="5" t="s">
        <v>93</v>
      </c>
      <c r="J77" s="2" t="s">
        <v>100</v>
      </c>
      <c r="K77" s="2"/>
    </row>
    <row r="78" spans="1:11" x14ac:dyDescent="0.2">
      <c r="A78" s="79" t="s">
        <v>14</v>
      </c>
      <c r="B78" s="19" t="s">
        <v>338</v>
      </c>
      <c r="C78" s="10" t="s">
        <v>2</v>
      </c>
      <c r="D78" s="11" t="s">
        <v>105</v>
      </c>
      <c r="E78" s="12" t="s">
        <v>8</v>
      </c>
      <c r="F78" s="12" t="s">
        <v>96</v>
      </c>
      <c r="G78" s="12"/>
      <c r="H78" s="18">
        <v>0</v>
      </c>
      <c r="I78" s="5"/>
      <c r="J78" s="2"/>
      <c r="K78" s="2"/>
    </row>
    <row r="79" spans="1:11" x14ac:dyDescent="0.2">
      <c r="A79" s="19" t="s">
        <v>171</v>
      </c>
      <c r="B79" s="19" t="s">
        <v>337</v>
      </c>
      <c r="C79" s="10" t="s">
        <v>2</v>
      </c>
      <c r="D79" s="20" t="s">
        <v>1</v>
      </c>
      <c r="E79" s="12" t="s">
        <v>76</v>
      </c>
      <c r="F79" s="12" t="s">
        <v>96</v>
      </c>
      <c r="G79" s="21"/>
      <c r="H79" s="18">
        <v>100</v>
      </c>
      <c r="I79" s="5" t="s">
        <v>86</v>
      </c>
      <c r="J79" s="2" t="s">
        <v>87</v>
      </c>
      <c r="K79" s="2"/>
    </row>
    <row r="80" spans="1:11" x14ac:dyDescent="0.2">
      <c r="A80" s="19" t="s">
        <v>172</v>
      </c>
      <c r="B80" s="9"/>
      <c r="C80" s="10" t="s">
        <v>2</v>
      </c>
      <c r="D80" s="20" t="s">
        <v>1</v>
      </c>
      <c r="E80" s="12" t="s">
        <v>4</v>
      </c>
      <c r="F80" s="12" t="s">
        <v>4</v>
      </c>
      <c r="G80" s="12"/>
      <c r="H80" s="13">
        <v>500</v>
      </c>
      <c r="I80" s="5"/>
      <c r="J80" s="2"/>
      <c r="K80" s="2"/>
    </row>
    <row r="81" spans="1:11" x14ac:dyDescent="0.2">
      <c r="A81" s="19" t="s">
        <v>173</v>
      </c>
      <c r="B81" s="19"/>
      <c r="C81" s="10" t="s">
        <v>2</v>
      </c>
      <c r="D81" s="20" t="s">
        <v>1</v>
      </c>
      <c r="E81" s="12" t="s">
        <v>4</v>
      </c>
      <c r="F81" s="12" t="s">
        <v>4</v>
      </c>
      <c r="G81" s="21"/>
      <c r="H81" s="18">
        <v>0</v>
      </c>
      <c r="I81" s="5"/>
      <c r="J81" s="2"/>
      <c r="K81" s="2"/>
    </row>
    <row r="82" spans="1:11" x14ac:dyDescent="0.2">
      <c r="A82" s="19" t="s">
        <v>174</v>
      </c>
      <c r="B82" s="9"/>
      <c r="C82" s="10" t="s">
        <v>3</v>
      </c>
      <c r="D82" s="20"/>
      <c r="E82" s="12" t="s">
        <v>76</v>
      </c>
      <c r="F82" s="12" t="s">
        <v>4</v>
      </c>
      <c r="G82" s="12"/>
      <c r="H82" s="13">
        <v>0</v>
      </c>
      <c r="I82" s="5"/>
      <c r="J82" s="2"/>
      <c r="K82" s="2"/>
    </row>
    <row r="83" spans="1:11" x14ac:dyDescent="0.2">
      <c r="A83" s="9" t="s">
        <v>68</v>
      </c>
      <c r="B83" s="19" t="s">
        <v>337</v>
      </c>
      <c r="C83" s="10" t="s">
        <v>2</v>
      </c>
      <c r="D83" s="11" t="s">
        <v>1</v>
      </c>
      <c r="E83" s="21" t="s">
        <v>9</v>
      </c>
      <c r="F83" s="21" t="s">
        <v>4</v>
      </c>
      <c r="G83" s="77"/>
      <c r="H83" s="18">
        <v>520</v>
      </c>
      <c r="I83" s="6" t="s">
        <v>86</v>
      </c>
      <c r="J83" s="2" t="s">
        <v>128</v>
      </c>
      <c r="K83" s="3"/>
    </row>
    <row r="84" spans="1:11" x14ac:dyDescent="0.2">
      <c r="A84" s="19" t="s">
        <v>175</v>
      </c>
      <c r="B84" s="9" t="s">
        <v>337</v>
      </c>
      <c r="C84" s="10" t="s">
        <v>2</v>
      </c>
      <c r="D84" s="20" t="s">
        <v>1</v>
      </c>
      <c r="E84" s="12" t="s">
        <v>96</v>
      </c>
      <c r="F84" s="12" t="s">
        <v>96</v>
      </c>
      <c r="G84" s="12"/>
      <c r="H84" s="13">
        <v>0</v>
      </c>
      <c r="I84" s="5"/>
      <c r="J84" s="2"/>
      <c r="K84" s="2"/>
    </row>
    <row r="85" spans="1:11" x14ac:dyDescent="0.2">
      <c r="A85" s="80" t="s">
        <v>106</v>
      </c>
      <c r="B85" s="9" t="s">
        <v>338</v>
      </c>
      <c r="C85" s="10" t="s">
        <v>2</v>
      </c>
      <c r="D85" s="20" t="s">
        <v>107</v>
      </c>
      <c r="E85" s="21" t="s">
        <v>8</v>
      </c>
      <c r="F85" s="21" t="s">
        <v>96</v>
      </c>
      <c r="G85" s="21"/>
      <c r="H85" s="13">
        <v>0</v>
      </c>
      <c r="I85" s="6"/>
      <c r="J85" s="2"/>
      <c r="K85" s="3"/>
    </row>
    <row r="86" spans="1:11" x14ac:dyDescent="0.2">
      <c r="A86" s="79" t="s">
        <v>13</v>
      </c>
      <c r="B86" s="19" t="s">
        <v>338</v>
      </c>
      <c r="C86" s="10" t="s">
        <v>2</v>
      </c>
      <c r="D86" s="11" t="s">
        <v>108</v>
      </c>
      <c r="E86" s="12" t="s">
        <v>8</v>
      </c>
      <c r="F86" s="12" t="s">
        <v>96</v>
      </c>
      <c r="G86" s="12"/>
      <c r="H86" s="18">
        <v>600</v>
      </c>
      <c r="I86" s="5" t="s">
        <v>93</v>
      </c>
      <c r="J86" s="2" t="s">
        <v>100</v>
      </c>
      <c r="K86" s="2"/>
    </row>
    <row r="87" spans="1:11" x14ac:dyDescent="0.2">
      <c r="A87" s="9" t="s">
        <v>27</v>
      </c>
      <c r="B87" s="19" t="s">
        <v>337</v>
      </c>
      <c r="C87" s="10" t="s">
        <v>2</v>
      </c>
      <c r="D87" s="11" t="s">
        <v>1</v>
      </c>
      <c r="E87" s="12" t="s">
        <v>96</v>
      </c>
      <c r="F87" s="12" t="s">
        <v>96</v>
      </c>
      <c r="G87" s="21"/>
      <c r="H87" s="18">
        <v>0</v>
      </c>
      <c r="I87" s="5" t="s">
        <v>86</v>
      </c>
      <c r="J87" s="2"/>
      <c r="K87" s="2"/>
    </row>
    <row r="88" spans="1:11" x14ac:dyDescent="0.2">
      <c r="A88" s="19" t="s">
        <v>179</v>
      </c>
      <c r="B88" s="9" t="s">
        <v>337</v>
      </c>
      <c r="C88" s="10" t="s">
        <v>2</v>
      </c>
      <c r="D88" s="11" t="s">
        <v>1</v>
      </c>
      <c r="E88" s="21" t="s">
        <v>76</v>
      </c>
      <c r="F88" s="21" t="s">
        <v>6</v>
      </c>
      <c r="G88" s="12"/>
      <c r="H88" s="13">
        <v>200</v>
      </c>
      <c r="I88" s="6" t="s">
        <v>86</v>
      </c>
      <c r="J88" s="2" t="s">
        <v>87</v>
      </c>
      <c r="K88" s="3"/>
    </row>
    <row r="89" spans="1:11" x14ac:dyDescent="0.2">
      <c r="A89" s="81" t="s">
        <v>180</v>
      </c>
      <c r="B89" s="19"/>
      <c r="C89" s="10" t="s">
        <v>3</v>
      </c>
      <c r="D89" s="11" t="s">
        <v>1</v>
      </c>
      <c r="E89" s="12" t="s">
        <v>76</v>
      </c>
      <c r="F89" s="12" t="s">
        <v>96</v>
      </c>
      <c r="G89" s="21"/>
      <c r="H89" s="18">
        <v>0</v>
      </c>
      <c r="I89" s="5"/>
      <c r="J89" s="2"/>
      <c r="K89" s="2"/>
    </row>
    <row r="90" spans="1:11" x14ac:dyDescent="0.2">
      <c r="A90" s="19" t="s">
        <v>69</v>
      </c>
      <c r="B90" s="9" t="s">
        <v>337</v>
      </c>
      <c r="C90" s="10" t="s">
        <v>2</v>
      </c>
      <c r="D90" s="20" t="s">
        <v>1</v>
      </c>
      <c r="E90" s="21" t="s">
        <v>9</v>
      </c>
      <c r="F90" s="21" t="s">
        <v>4</v>
      </c>
      <c r="G90" s="78"/>
      <c r="H90" s="13">
        <v>1500</v>
      </c>
      <c r="I90" s="6" t="s">
        <v>86</v>
      </c>
      <c r="J90" s="2" t="s">
        <v>88</v>
      </c>
      <c r="K90" s="3"/>
    </row>
    <row r="91" spans="1:11" x14ac:dyDescent="0.2">
      <c r="A91" s="9" t="s">
        <v>181</v>
      </c>
      <c r="B91" s="19" t="s">
        <v>337</v>
      </c>
      <c r="C91" s="10" t="s">
        <v>2</v>
      </c>
      <c r="D91" s="11" t="s">
        <v>182</v>
      </c>
      <c r="E91" s="21" t="s">
        <v>8</v>
      </c>
      <c r="F91" s="21" t="s">
        <v>4</v>
      </c>
      <c r="G91" s="21"/>
      <c r="H91" s="18">
        <v>0</v>
      </c>
      <c r="I91" s="6" t="s">
        <v>86</v>
      </c>
      <c r="J91" s="2" t="s">
        <v>88</v>
      </c>
      <c r="K91" s="3"/>
    </row>
    <row r="92" spans="1:11" x14ac:dyDescent="0.2">
      <c r="A92" s="19" t="s">
        <v>183</v>
      </c>
      <c r="B92" s="9" t="s">
        <v>337</v>
      </c>
      <c r="C92" s="10" t="s">
        <v>2</v>
      </c>
      <c r="D92" s="20" t="s">
        <v>184</v>
      </c>
      <c r="E92" s="12" t="s">
        <v>7</v>
      </c>
      <c r="F92" s="12" t="s">
        <v>6</v>
      </c>
      <c r="G92" s="78"/>
      <c r="H92" s="13">
        <v>200</v>
      </c>
      <c r="I92" s="5"/>
      <c r="J92" s="2"/>
      <c r="K92" s="2"/>
    </row>
    <row r="93" spans="1:11" x14ac:dyDescent="0.2">
      <c r="A93" s="9" t="s">
        <v>70</v>
      </c>
      <c r="B93" s="19" t="s">
        <v>337</v>
      </c>
      <c r="C93" s="10" t="s">
        <v>2</v>
      </c>
      <c r="D93" s="20" t="s">
        <v>1</v>
      </c>
      <c r="E93" s="12" t="s">
        <v>5</v>
      </c>
      <c r="F93" s="12" t="s">
        <v>6</v>
      </c>
      <c r="G93" s="21"/>
      <c r="H93" s="18">
        <v>1000</v>
      </c>
      <c r="I93" s="5" t="s">
        <v>86</v>
      </c>
      <c r="J93" s="2" t="s">
        <v>100</v>
      </c>
      <c r="K93" s="2"/>
    </row>
    <row r="94" spans="1:11" x14ac:dyDescent="0.2">
      <c r="A94" s="80" t="s">
        <v>15</v>
      </c>
      <c r="B94" s="9" t="s">
        <v>338</v>
      </c>
      <c r="C94" s="10" t="s">
        <v>2</v>
      </c>
      <c r="D94" s="20" t="s">
        <v>1</v>
      </c>
      <c r="E94" s="21" t="s">
        <v>8</v>
      </c>
      <c r="F94" s="21" t="s">
        <v>96</v>
      </c>
      <c r="G94" s="21"/>
      <c r="H94" s="13">
        <v>600</v>
      </c>
      <c r="I94" s="6" t="s">
        <v>86</v>
      </c>
      <c r="J94" s="2" t="s">
        <v>100</v>
      </c>
      <c r="K94" s="3"/>
    </row>
    <row r="95" spans="1:11" x14ac:dyDescent="0.2">
      <c r="A95" s="9" t="s">
        <v>28</v>
      </c>
      <c r="B95" s="19" t="s">
        <v>337</v>
      </c>
      <c r="C95" s="10" t="s">
        <v>152</v>
      </c>
      <c r="D95" s="20" t="s">
        <v>1</v>
      </c>
      <c r="E95" s="12" t="s">
        <v>76</v>
      </c>
      <c r="F95" s="12" t="s">
        <v>4</v>
      </c>
      <c r="G95" s="21"/>
      <c r="H95" s="18">
        <v>0</v>
      </c>
      <c r="I95" s="5" t="s">
        <v>86</v>
      </c>
      <c r="J95" s="2" t="s">
        <v>94</v>
      </c>
      <c r="K95" s="2"/>
    </row>
    <row r="96" spans="1:11" x14ac:dyDescent="0.2">
      <c r="A96" s="9" t="s">
        <v>129</v>
      </c>
      <c r="B96" s="19" t="s">
        <v>338</v>
      </c>
      <c r="C96" s="10" t="s">
        <v>2</v>
      </c>
      <c r="D96" s="11" t="s">
        <v>1</v>
      </c>
      <c r="E96" s="12" t="s">
        <v>9</v>
      </c>
      <c r="F96" s="12" t="s">
        <v>6</v>
      </c>
      <c r="G96" s="12"/>
      <c r="H96" s="18">
        <v>300</v>
      </c>
      <c r="I96" s="5" t="s">
        <v>86</v>
      </c>
      <c r="J96" s="2" t="s">
        <v>88</v>
      </c>
      <c r="K96" s="2"/>
    </row>
    <row r="97" spans="1:11" x14ac:dyDescent="0.2">
      <c r="A97" s="81" t="s">
        <v>22</v>
      </c>
      <c r="B97" s="19" t="s">
        <v>338</v>
      </c>
      <c r="C97" s="10" t="s">
        <v>2</v>
      </c>
      <c r="D97" s="11" t="s">
        <v>141</v>
      </c>
      <c r="E97" s="21"/>
      <c r="F97" s="21" t="s">
        <v>6</v>
      </c>
      <c r="G97" s="78"/>
      <c r="H97" s="18">
        <v>1100</v>
      </c>
      <c r="I97" s="6" t="s">
        <v>86</v>
      </c>
      <c r="J97" s="2" t="s">
        <v>100</v>
      </c>
      <c r="K97" s="3"/>
    </row>
    <row r="98" spans="1:11" x14ac:dyDescent="0.2">
      <c r="A98" s="9" t="s">
        <v>142</v>
      </c>
      <c r="B98" s="9" t="s">
        <v>338</v>
      </c>
      <c r="C98" s="10" t="s">
        <v>3</v>
      </c>
      <c r="D98" s="11"/>
      <c r="E98" s="12" t="s">
        <v>76</v>
      </c>
      <c r="F98" s="21" t="s">
        <v>4</v>
      </c>
      <c r="G98" s="21"/>
      <c r="H98" s="13">
        <v>0</v>
      </c>
      <c r="I98" s="6"/>
      <c r="J98" s="2"/>
      <c r="K98" s="3"/>
    </row>
    <row r="99" spans="1:11" x14ac:dyDescent="0.2">
      <c r="A99" s="9" t="s">
        <v>145</v>
      </c>
      <c r="B99" s="9" t="s">
        <v>339</v>
      </c>
      <c r="C99" s="10" t="s">
        <v>2</v>
      </c>
      <c r="D99" s="11" t="s">
        <v>1</v>
      </c>
      <c r="E99" s="21" t="s">
        <v>9</v>
      </c>
      <c r="F99" s="21" t="s">
        <v>4</v>
      </c>
      <c r="G99" s="21"/>
      <c r="H99" s="13">
        <v>0</v>
      </c>
      <c r="I99" s="6"/>
      <c r="J99" s="2"/>
      <c r="K99" s="3"/>
    </row>
    <row r="100" spans="1:11" x14ac:dyDescent="0.2">
      <c r="A100" s="82" t="s">
        <v>170</v>
      </c>
      <c r="B100" s="19" t="s">
        <v>338</v>
      </c>
      <c r="C100" s="10" t="s">
        <v>152</v>
      </c>
      <c r="D100" s="20" t="s">
        <v>1</v>
      </c>
      <c r="E100" s="12" t="s">
        <v>76</v>
      </c>
      <c r="F100" s="12" t="s">
        <v>4</v>
      </c>
      <c r="G100" s="21"/>
      <c r="H100" s="18">
        <v>100</v>
      </c>
      <c r="I100" s="5" t="s">
        <v>86</v>
      </c>
      <c r="J100" s="2" t="s">
        <v>94</v>
      </c>
      <c r="K100" s="2"/>
    </row>
    <row r="101" spans="1:11" x14ac:dyDescent="0.2">
      <c r="A101" s="81" t="s">
        <v>26</v>
      </c>
      <c r="B101" s="9" t="s">
        <v>338</v>
      </c>
      <c r="C101" s="10" t="s">
        <v>2</v>
      </c>
      <c r="D101" s="11" t="s">
        <v>1</v>
      </c>
      <c r="E101" s="12"/>
      <c r="F101" s="12" t="s">
        <v>4</v>
      </c>
      <c r="G101" s="12"/>
      <c r="H101" s="13">
        <v>300</v>
      </c>
      <c r="I101" s="5" t="s">
        <v>86</v>
      </c>
      <c r="J101" s="2" t="s">
        <v>100</v>
      </c>
      <c r="K101" s="2"/>
    </row>
    <row r="102" spans="1:11" x14ac:dyDescent="0.2">
      <c r="A102" s="9" t="s">
        <v>176</v>
      </c>
      <c r="B102" s="19" t="s">
        <v>338</v>
      </c>
      <c r="C102" s="10" t="s">
        <v>2</v>
      </c>
      <c r="D102" s="11" t="s">
        <v>1</v>
      </c>
      <c r="E102" s="21" t="s">
        <v>8</v>
      </c>
      <c r="F102" s="21" t="s">
        <v>4</v>
      </c>
      <c r="G102" s="21"/>
      <c r="H102" s="18">
        <v>200</v>
      </c>
      <c r="I102" s="6" t="s">
        <v>86</v>
      </c>
      <c r="J102" s="2" t="s">
        <v>94</v>
      </c>
      <c r="K102" s="3"/>
    </row>
    <row r="103" spans="1:11" x14ac:dyDescent="0.2">
      <c r="A103" s="82" t="s">
        <v>185</v>
      </c>
      <c r="B103" s="9" t="s">
        <v>338</v>
      </c>
      <c r="C103" s="10" t="s">
        <v>2</v>
      </c>
      <c r="D103" s="20" t="s">
        <v>1</v>
      </c>
      <c r="E103" s="21"/>
      <c r="F103" s="21" t="s">
        <v>6</v>
      </c>
      <c r="G103" s="12"/>
      <c r="H103" s="13">
        <v>0</v>
      </c>
      <c r="I103" s="6" t="s">
        <v>86</v>
      </c>
      <c r="J103" s="2" t="s">
        <v>94</v>
      </c>
      <c r="K103" s="3"/>
    </row>
    <row r="104" spans="1:11" x14ac:dyDescent="0.2">
      <c r="A104" s="82" t="s">
        <v>186</v>
      </c>
      <c r="B104" s="9" t="s">
        <v>338</v>
      </c>
      <c r="C104" s="10" t="s">
        <v>2</v>
      </c>
      <c r="D104" s="20" t="s">
        <v>1</v>
      </c>
      <c r="E104" s="21"/>
      <c r="F104" s="21" t="s">
        <v>6</v>
      </c>
      <c r="G104" s="12"/>
      <c r="H104" s="13">
        <v>0</v>
      </c>
      <c r="I104" s="6" t="s">
        <v>86</v>
      </c>
      <c r="J104" s="2" t="s">
        <v>88</v>
      </c>
      <c r="K104" s="3"/>
    </row>
    <row r="105" spans="1:11" x14ac:dyDescent="0.2">
      <c r="A105" s="9" t="s">
        <v>52</v>
      </c>
      <c r="B105" s="19" t="s">
        <v>337</v>
      </c>
      <c r="C105" s="10" t="s">
        <v>2</v>
      </c>
      <c r="D105" s="11" t="s">
        <v>1</v>
      </c>
      <c r="E105" s="12"/>
      <c r="F105" s="12" t="s">
        <v>6</v>
      </c>
      <c r="G105" s="21"/>
      <c r="H105" s="18">
        <v>100</v>
      </c>
      <c r="I105" s="5"/>
      <c r="J105" s="2"/>
      <c r="K105" s="2"/>
    </row>
    <row r="106" spans="1:11" x14ac:dyDescent="0.2">
      <c r="A106" s="19" t="s">
        <v>32</v>
      </c>
      <c r="B106" s="9" t="s">
        <v>337</v>
      </c>
      <c r="C106" s="10" t="s">
        <v>2</v>
      </c>
      <c r="D106" s="20" t="s">
        <v>1</v>
      </c>
      <c r="E106" s="21" t="s">
        <v>5</v>
      </c>
      <c r="F106" s="21" t="s">
        <v>4</v>
      </c>
      <c r="G106" s="12"/>
      <c r="H106" s="13">
        <v>300</v>
      </c>
      <c r="I106" s="6" t="s">
        <v>86</v>
      </c>
      <c r="J106" s="2" t="s">
        <v>100</v>
      </c>
      <c r="K106" s="3"/>
    </row>
    <row r="107" spans="1:11" x14ac:dyDescent="0.2">
      <c r="A107" s="79" t="s">
        <v>29</v>
      </c>
      <c r="B107" s="19" t="s">
        <v>338</v>
      </c>
      <c r="C107" s="10" t="s">
        <v>2</v>
      </c>
      <c r="D107" s="11" t="s">
        <v>187</v>
      </c>
      <c r="E107" s="12" t="s">
        <v>8</v>
      </c>
      <c r="F107" s="12" t="s">
        <v>4</v>
      </c>
      <c r="G107" s="21"/>
      <c r="H107" s="18">
        <v>0</v>
      </c>
      <c r="I107" s="5" t="s">
        <v>86</v>
      </c>
      <c r="J107" s="2" t="s">
        <v>128</v>
      </c>
      <c r="K107" s="2"/>
    </row>
    <row r="108" spans="1:11" x14ac:dyDescent="0.2">
      <c r="A108" s="80" t="s">
        <v>188</v>
      </c>
      <c r="B108" s="19" t="s">
        <v>338</v>
      </c>
      <c r="C108" s="10" t="s">
        <v>152</v>
      </c>
      <c r="D108" s="20"/>
      <c r="E108" s="21" t="s">
        <v>8</v>
      </c>
      <c r="F108" s="21" t="s">
        <v>4</v>
      </c>
      <c r="G108" s="12"/>
      <c r="H108" s="13">
        <v>0</v>
      </c>
      <c r="I108" s="6" t="s">
        <v>86</v>
      </c>
      <c r="J108" s="2" t="s">
        <v>128</v>
      </c>
      <c r="K108" s="3"/>
    </row>
    <row r="109" spans="1:11" x14ac:dyDescent="0.2">
      <c r="A109" s="9" t="s">
        <v>30</v>
      </c>
      <c r="B109" s="19" t="s">
        <v>337</v>
      </c>
      <c r="C109" s="10" t="s">
        <v>2</v>
      </c>
      <c r="D109" s="11" t="s">
        <v>199</v>
      </c>
      <c r="E109" s="12" t="s">
        <v>7</v>
      </c>
      <c r="F109" s="12" t="s">
        <v>4</v>
      </c>
      <c r="G109" s="21"/>
      <c r="H109" s="18">
        <v>0</v>
      </c>
      <c r="I109" s="5" t="s">
        <v>93</v>
      </c>
      <c r="J109" s="2" t="s">
        <v>88</v>
      </c>
      <c r="K109" s="2"/>
    </row>
    <row r="110" spans="1:11" x14ac:dyDescent="0.2">
      <c r="A110" s="19" t="s">
        <v>71</v>
      </c>
      <c r="B110" s="9"/>
      <c r="C110" s="10" t="s">
        <v>2</v>
      </c>
      <c r="D110" s="20" t="s">
        <v>200</v>
      </c>
      <c r="E110" s="21" t="s">
        <v>7</v>
      </c>
      <c r="F110" s="21" t="s">
        <v>6</v>
      </c>
      <c r="G110" s="12"/>
      <c r="H110" s="13">
        <v>0</v>
      </c>
      <c r="I110" s="6" t="s">
        <v>93</v>
      </c>
      <c r="J110" s="2" t="s">
        <v>100</v>
      </c>
      <c r="K110" s="3"/>
    </row>
    <row r="111" spans="1:11" x14ac:dyDescent="0.2">
      <c r="A111" s="9" t="s">
        <v>201</v>
      </c>
      <c r="B111" s="19" t="s">
        <v>337</v>
      </c>
      <c r="C111" s="10" t="s">
        <v>2</v>
      </c>
      <c r="D111" s="11" t="s">
        <v>202</v>
      </c>
      <c r="E111" s="12" t="s">
        <v>7</v>
      </c>
      <c r="F111" s="12" t="s">
        <v>6</v>
      </c>
      <c r="G111" s="77"/>
      <c r="H111" s="18">
        <v>0</v>
      </c>
      <c r="I111" s="5"/>
      <c r="J111" s="2"/>
      <c r="K111" s="2"/>
    </row>
    <row r="112" spans="1:11" x14ac:dyDescent="0.2">
      <c r="A112" s="19" t="s">
        <v>203</v>
      </c>
      <c r="B112" s="9" t="s">
        <v>337</v>
      </c>
      <c r="C112" s="10" t="s">
        <v>192</v>
      </c>
      <c r="D112" s="20"/>
      <c r="E112" s="12" t="s">
        <v>96</v>
      </c>
      <c r="F112" s="21" t="s">
        <v>96</v>
      </c>
      <c r="G112" s="78"/>
      <c r="H112" s="13">
        <v>0</v>
      </c>
      <c r="I112" s="6"/>
      <c r="J112" s="2"/>
      <c r="K112" s="3"/>
    </row>
    <row r="113" spans="1:11" x14ac:dyDescent="0.2">
      <c r="A113" s="9" t="s">
        <v>204</v>
      </c>
      <c r="B113" s="19" t="s">
        <v>337</v>
      </c>
      <c r="C113" s="10" t="s">
        <v>192</v>
      </c>
      <c r="D113" s="11"/>
      <c r="E113" s="12" t="s">
        <v>96</v>
      </c>
      <c r="F113" s="12" t="s">
        <v>96</v>
      </c>
      <c r="G113" s="77"/>
      <c r="H113" s="18">
        <v>0</v>
      </c>
      <c r="I113" s="5"/>
      <c r="J113" s="2"/>
      <c r="K113" s="2"/>
    </row>
    <row r="114" spans="1:11" x14ac:dyDescent="0.2">
      <c r="A114" s="19" t="s">
        <v>205</v>
      </c>
      <c r="B114" s="9" t="s">
        <v>337</v>
      </c>
      <c r="C114" s="10" t="s">
        <v>2</v>
      </c>
      <c r="D114" s="20" t="s">
        <v>206</v>
      </c>
      <c r="E114" s="21" t="s">
        <v>7</v>
      </c>
      <c r="F114" s="21" t="s">
        <v>6</v>
      </c>
      <c r="G114" s="78"/>
      <c r="H114" s="13">
        <v>0</v>
      </c>
      <c r="I114" s="6"/>
      <c r="J114" s="2"/>
      <c r="K114" s="3"/>
    </row>
    <row r="115" spans="1:11" x14ac:dyDescent="0.2">
      <c r="A115" s="9" t="s">
        <v>72</v>
      </c>
      <c r="B115" s="19" t="s">
        <v>337</v>
      </c>
      <c r="C115" s="10" t="s">
        <v>2</v>
      </c>
      <c r="D115" s="11" t="s">
        <v>207</v>
      </c>
      <c r="E115" s="12" t="s">
        <v>7</v>
      </c>
      <c r="F115" s="12" t="s">
        <v>6</v>
      </c>
      <c r="G115" s="77"/>
      <c r="H115" s="18">
        <v>1400</v>
      </c>
      <c r="I115" s="5" t="s">
        <v>86</v>
      </c>
      <c r="J115" s="2" t="s">
        <v>100</v>
      </c>
      <c r="K115" s="2"/>
    </row>
    <row r="116" spans="1:11" x14ac:dyDescent="0.2">
      <c r="A116" s="19" t="s">
        <v>208</v>
      </c>
      <c r="B116" s="9" t="s">
        <v>337</v>
      </c>
      <c r="C116" s="10" t="s">
        <v>3</v>
      </c>
      <c r="D116" s="20" t="s">
        <v>209</v>
      </c>
      <c r="E116" s="12" t="s">
        <v>76</v>
      </c>
      <c r="F116" s="21" t="s">
        <v>96</v>
      </c>
      <c r="G116" s="12"/>
      <c r="H116" s="13">
        <v>0</v>
      </c>
      <c r="I116" s="6"/>
      <c r="J116" s="2"/>
      <c r="K116" s="3"/>
    </row>
    <row r="117" spans="1:11" x14ac:dyDescent="0.2">
      <c r="A117" s="19" t="s">
        <v>53</v>
      </c>
      <c r="B117" s="19" t="s">
        <v>337</v>
      </c>
      <c r="C117" s="10" t="s">
        <v>2</v>
      </c>
      <c r="D117" s="20" t="s">
        <v>1</v>
      </c>
      <c r="E117" s="12" t="s">
        <v>9</v>
      </c>
      <c r="F117" s="21" t="s">
        <v>96</v>
      </c>
      <c r="G117" s="77"/>
      <c r="H117" s="18">
        <v>0</v>
      </c>
      <c r="I117" s="6"/>
      <c r="J117" s="2"/>
      <c r="K117" s="3"/>
    </row>
    <row r="118" spans="1:11" x14ac:dyDescent="0.2">
      <c r="A118" s="79" t="s">
        <v>31</v>
      </c>
      <c r="B118" s="19" t="s">
        <v>338</v>
      </c>
      <c r="C118" s="10" t="s">
        <v>2</v>
      </c>
      <c r="D118" s="11" t="s">
        <v>189</v>
      </c>
      <c r="E118" s="12" t="s">
        <v>8</v>
      </c>
      <c r="F118" s="12" t="s">
        <v>4</v>
      </c>
      <c r="G118" s="21"/>
      <c r="H118" s="18">
        <v>1000</v>
      </c>
      <c r="I118" s="5" t="s">
        <v>86</v>
      </c>
      <c r="J118" s="2" t="s">
        <v>94</v>
      </c>
      <c r="K118" s="2"/>
    </row>
    <row r="119" spans="1:11" x14ac:dyDescent="0.2">
      <c r="A119" s="19" t="s">
        <v>212</v>
      </c>
      <c r="B119" s="19" t="s">
        <v>337</v>
      </c>
      <c r="C119" s="10" t="s">
        <v>2</v>
      </c>
      <c r="D119" s="20" t="s">
        <v>1</v>
      </c>
      <c r="E119" s="12" t="s">
        <v>76</v>
      </c>
      <c r="F119" s="12" t="s">
        <v>4</v>
      </c>
      <c r="G119" s="21"/>
      <c r="H119" s="18">
        <v>0</v>
      </c>
      <c r="I119" s="5" t="s">
        <v>86</v>
      </c>
      <c r="J119" s="2" t="s">
        <v>94</v>
      </c>
      <c r="K119" s="2"/>
    </row>
    <row r="120" spans="1:11" x14ac:dyDescent="0.2">
      <c r="A120" s="80" t="s">
        <v>190</v>
      </c>
      <c r="B120" s="19" t="s">
        <v>338</v>
      </c>
      <c r="C120" s="10" t="s">
        <v>152</v>
      </c>
      <c r="D120" s="20"/>
      <c r="E120" s="21" t="s">
        <v>8</v>
      </c>
      <c r="F120" s="21" t="s">
        <v>4</v>
      </c>
      <c r="G120" s="12"/>
      <c r="H120" s="13">
        <v>0</v>
      </c>
      <c r="I120" s="6" t="s">
        <v>86</v>
      </c>
      <c r="J120" s="2" t="s">
        <v>128</v>
      </c>
      <c r="K120" s="3"/>
    </row>
    <row r="121" spans="1:11" x14ac:dyDescent="0.2">
      <c r="A121" s="19" t="s">
        <v>213</v>
      </c>
      <c r="B121" s="19" t="s">
        <v>337</v>
      </c>
      <c r="C121" s="10" t="s">
        <v>2</v>
      </c>
      <c r="D121" s="20" t="s">
        <v>1</v>
      </c>
      <c r="E121" s="12" t="s">
        <v>5</v>
      </c>
      <c r="F121" s="12" t="s">
        <v>6</v>
      </c>
      <c r="G121" s="77"/>
      <c r="H121" s="18">
        <v>0</v>
      </c>
      <c r="I121" s="5"/>
      <c r="J121" s="2"/>
      <c r="K121" s="2"/>
    </row>
    <row r="122" spans="1:11" x14ac:dyDescent="0.2">
      <c r="A122" s="9" t="s">
        <v>214</v>
      </c>
      <c r="B122" s="9" t="s">
        <v>337</v>
      </c>
      <c r="C122" s="10" t="s">
        <v>2</v>
      </c>
      <c r="D122" s="11" t="s">
        <v>215</v>
      </c>
      <c r="E122" s="21" t="s">
        <v>5</v>
      </c>
      <c r="F122" s="21" t="s">
        <v>6</v>
      </c>
      <c r="G122" s="78"/>
      <c r="H122" s="13">
        <v>0</v>
      </c>
      <c r="I122" s="6"/>
      <c r="J122" s="2"/>
      <c r="K122" s="3"/>
    </row>
    <row r="123" spans="1:11" x14ac:dyDescent="0.2">
      <c r="A123" s="19" t="s">
        <v>216</v>
      </c>
      <c r="B123" s="19" t="s">
        <v>337</v>
      </c>
      <c r="C123" s="10" t="s">
        <v>2</v>
      </c>
      <c r="D123" s="20" t="s">
        <v>217</v>
      </c>
      <c r="E123" s="12" t="s">
        <v>7</v>
      </c>
      <c r="F123" s="12" t="s">
        <v>4</v>
      </c>
      <c r="G123" s="21"/>
      <c r="H123" s="18">
        <v>0</v>
      </c>
      <c r="I123" s="5" t="s">
        <v>86</v>
      </c>
      <c r="J123" s="2" t="s">
        <v>87</v>
      </c>
      <c r="K123" s="2"/>
    </row>
    <row r="124" spans="1:11" x14ac:dyDescent="0.2">
      <c r="A124" s="79" t="s">
        <v>218</v>
      </c>
      <c r="B124" s="9"/>
      <c r="C124" s="10" t="s">
        <v>152</v>
      </c>
      <c r="D124" s="11" t="s">
        <v>1</v>
      </c>
      <c r="E124" s="21"/>
      <c r="F124" s="21" t="s">
        <v>96</v>
      </c>
      <c r="G124" s="12"/>
      <c r="H124" s="13">
        <v>0</v>
      </c>
      <c r="I124" s="6" t="s">
        <v>86</v>
      </c>
      <c r="J124" s="2" t="s">
        <v>100</v>
      </c>
      <c r="K124" s="3"/>
    </row>
    <row r="125" spans="1:11" x14ac:dyDescent="0.2">
      <c r="A125" s="19" t="s">
        <v>219</v>
      </c>
      <c r="B125" s="19" t="s">
        <v>337</v>
      </c>
      <c r="C125" s="10" t="s">
        <v>2</v>
      </c>
      <c r="D125" s="20" t="s">
        <v>220</v>
      </c>
      <c r="E125" s="12" t="s">
        <v>76</v>
      </c>
      <c r="F125" s="12" t="s">
        <v>6</v>
      </c>
      <c r="G125" s="21"/>
      <c r="H125" s="18">
        <v>0</v>
      </c>
      <c r="I125" s="5"/>
      <c r="J125" s="2"/>
      <c r="K125" s="2"/>
    </row>
    <row r="126" spans="1:11" x14ac:dyDescent="0.2">
      <c r="A126" s="9" t="s">
        <v>221</v>
      </c>
      <c r="B126" s="9" t="s">
        <v>337</v>
      </c>
      <c r="C126" s="10" t="s">
        <v>2</v>
      </c>
      <c r="D126" s="11" t="s">
        <v>1</v>
      </c>
      <c r="E126" s="12" t="s">
        <v>9</v>
      </c>
      <c r="F126" s="12" t="s">
        <v>96</v>
      </c>
      <c r="G126" s="12"/>
      <c r="H126" s="13">
        <v>0</v>
      </c>
      <c r="I126" s="5"/>
      <c r="J126" s="2"/>
      <c r="K126" s="2"/>
    </row>
    <row r="127" spans="1:11" x14ac:dyDescent="0.2">
      <c r="A127" s="19" t="s">
        <v>222</v>
      </c>
      <c r="B127" s="19" t="s">
        <v>337</v>
      </c>
      <c r="C127" s="10" t="s">
        <v>2</v>
      </c>
      <c r="D127" s="20" t="s">
        <v>223</v>
      </c>
      <c r="E127" s="21"/>
      <c r="F127" s="21" t="s">
        <v>4</v>
      </c>
      <c r="G127" s="21"/>
      <c r="H127" s="18">
        <v>500</v>
      </c>
      <c r="I127" s="6" t="s">
        <v>86</v>
      </c>
      <c r="J127" s="2" t="s">
        <v>87</v>
      </c>
      <c r="K127" s="3"/>
    </row>
    <row r="128" spans="1:11" x14ac:dyDescent="0.2">
      <c r="A128" s="9" t="s">
        <v>224</v>
      </c>
      <c r="B128" s="9" t="s">
        <v>337</v>
      </c>
      <c r="C128" s="10" t="s">
        <v>2</v>
      </c>
      <c r="D128" s="20" t="s">
        <v>1</v>
      </c>
      <c r="E128" s="12"/>
      <c r="F128" s="12" t="s">
        <v>4</v>
      </c>
      <c r="G128" s="78"/>
      <c r="H128" s="13">
        <v>0</v>
      </c>
      <c r="I128" s="5"/>
      <c r="J128" s="2"/>
      <c r="K128" s="2"/>
    </row>
    <row r="129" spans="1:11" x14ac:dyDescent="0.2">
      <c r="A129" s="19" t="s">
        <v>225</v>
      </c>
      <c r="B129" s="19" t="s">
        <v>337</v>
      </c>
      <c r="C129" s="10" t="s">
        <v>2</v>
      </c>
      <c r="D129" s="20" t="s">
        <v>1</v>
      </c>
      <c r="E129" s="21" t="s">
        <v>9</v>
      </c>
      <c r="F129" s="21" t="s">
        <v>4</v>
      </c>
      <c r="G129" s="77"/>
      <c r="H129" s="18">
        <v>200</v>
      </c>
      <c r="I129" s="6" t="s">
        <v>86</v>
      </c>
      <c r="J129" s="2" t="s">
        <v>87</v>
      </c>
      <c r="K129" s="3"/>
    </row>
    <row r="130" spans="1:11" x14ac:dyDescent="0.2">
      <c r="A130" s="9" t="s">
        <v>226</v>
      </c>
      <c r="B130" s="9" t="s">
        <v>337</v>
      </c>
      <c r="C130" s="10" t="s">
        <v>2</v>
      </c>
      <c r="D130" s="20" t="s">
        <v>1</v>
      </c>
      <c r="E130" s="12" t="s">
        <v>76</v>
      </c>
      <c r="F130" s="12" t="s">
        <v>96</v>
      </c>
      <c r="G130" s="12"/>
      <c r="H130" s="13">
        <v>0</v>
      </c>
      <c r="I130" s="5"/>
      <c r="J130" s="2"/>
      <c r="K130" s="2"/>
    </row>
    <row r="131" spans="1:11" x14ac:dyDescent="0.2">
      <c r="A131" s="79" t="s">
        <v>191</v>
      </c>
      <c r="B131" s="19" t="s">
        <v>338</v>
      </c>
      <c r="C131" s="10" t="s">
        <v>192</v>
      </c>
      <c r="D131" s="11"/>
      <c r="E131" s="12" t="s">
        <v>96</v>
      </c>
      <c r="F131" s="12" t="s">
        <v>96</v>
      </c>
      <c r="G131" s="21"/>
      <c r="H131" s="18">
        <v>0</v>
      </c>
      <c r="I131" s="5"/>
      <c r="J131" s="2"/>
      <c r="K131" s="2"/>
    </row>
    <row r="132" spans="1:11" x14ac:dyDescent="0.2">
      <c r="A132" s="80" t="s">
        <v>193</v>
      </c>
      <c r="B132" s="19" t="s">
        <v>338</v>
      </c>
      <c r="C132" s="10" t="s">
        <v>192</v>
      </c>
      <c r="D132" s="20"/>
      <c r="E132" s="12" t="s">
        <v>96</v>
      </c>
      <c r="F132" s="21" t="s">
        <v>96</v>
      </c>
      <c r="G132" s="12"/>
      <c r="H132" s="13">
        <v>0</v>
      </c>
      <c r="I132" s="6"/>
      <c r="J132" s="2"/>
      <c r="K132" s="3"/>
    </row>
    <row r="133" spans="1:11" x14ac:dyDescent="0.2">
      <c r="A133" s="79" t="s">
        <v>194</v>
      </c>
      <c r="B133" s="19" t="s">
        <v>338</v>
      </c>
      <c r="C133" s="10" t="s">
        <v>192</v>
      </c>
      <c r="D133" s="11"/>
      <c r="E133" s="12" t="s">
        <v>96</v>
      </c>
      <c r="F133" s="12" t="s">
        <v>96</v>
      </c>
      <c r="G133" s="21"/>
      <c r="H133" s="18">
        <v>0</v>
      </c>
      <c r="I133" s="5"/>
      <c r="J133" s="2"/>
      <c r="K133" s="2"/>
    </row>
    <row r="134" spans="1:11" x14ac:dyDescent="0.2">
      <c r="A134" s="9" t="s">
        <v>228</v>
      </c>
      <c r="B134" s="9" t="s">
        <v>337</v>
      </c>
      <c r="C134" s="10" t="s">
        <v>2</v>
      </c>
      <c r="D134" s="11" t="s">
        <v>1</v>
      </c>
      <c r="E134" s="12" t="s">
        <v>76</v>
      </c>
      <c r="F134" s="12" t="s">
        <v>6</v>
      </c>
      <c r="G134" s="12"/>
      <c r="H134" s="13">
        <v>80</v>
      </c>
      <c r="I134" s="5" t="s">
        <v>86</v>
      </c>
      <c r="J134" s="2" t="s">
        <v>128</v>
      </c>
      <c r="K134" s="2"/>
    </row>
    <row r="135" spans="1:11" x14ac:dyDescent="0.2">
      <c r="A135" s="80" t="s">
        <v>195</v>
      </c>
      <c r="B135" s="19" t="s">
        <v>338</v>
      </c>
      <c r="C135" s="10" t="s">
        <v>192</v>
      </c>
      <c r="D135" s="20"/>
      <c r="E135" s="12" t="s">
        <v>96</v>
      </c>
      <c r="F135" s="21" t="s">
        <v>96</v>
      </c>
      <c r="G135" s="12"/>
      <c r="H135" s="13">
        <v>0</v>
      </c>
      <c r="I135" s="6"/>
      <c r="J135" s="2"/>
      <c r="K135" s="3"/>
    </row>
    <row r="136" spans="1:11" x14ac:dyDescent="0.2">
      <c r="A136" s="9" t="s">
        <v>230</v>
      </c>
      <c r="B136" s="9" t="s">
        <v>337</v>
      </c>
      <c r="C136" s="10" t="s">
        <v>2</v>
      </c>
      <c r="D136" s="20" t="s">
        <v>1</v>
      </c>
      <c r="E136" s="12" t="s">
        <v>5</v>
      </c>
      <c r="F136" s="12" t="s">
        <v>4</v>
      </c>
      <c r="G136" s="12"/>
      <c r="H136" s="13">
        <v>0</v>
      </c>
      <c r="I136" s="5" t="s">
        <v>86</v>
      </c>
      <c r="J136" s="2" t="s">
        <v>128</v>
      </c>
      <c r="K136" s="2"/>
    </row>
    <row r="137" spans="1:11" x14ac:dyDescent="0.2">
      <c r="A137" s="19" t="s">
        <v>231</v>
      </c>
      <c r="B137" s="19" t="s">
        <v>337</v>
      </c>
      <c r="C137" s="10" t="s">
        <v>2</v>
      </c>
      <c r="D137" s="20" t="s">
        <v>1</v>
      </c>
      <c r="E137" s="21" t="s">
        <v>96</v>
      </c>
      <c r="F137" s="21" t="s">
        <v>96</v>
      </c>
      <c r="G137" s="21"/>
      <c r="H137" s="18">
        <v>0</v>
      </c>
      <c r="I137" s="6" t="s">
        <v>86</v>
      </c>
      <c r="J137" s="2" t="s">
        <v>128</v>
      </c>
      <c r="K137" s="3"/>
    </row>
    <row r="138" spans="1:11" x14ac:dyDescent="0.2">
      <c r="A138" s="19" t="s">
        <v>232</v>
      </c>
      <c r="B138" s="9"/>
      <c r="C138" s="10" t="s">
        <v>2</v>
      </c>
      <c r="D138" s="20" t="s">
        <v>1</v>
      </c>
      <c r="E138" s="21" t="s">
        <v>4</v>
      </c>
      <c r="F138" s="21" t="s">
        <v>4</v>
      </c>
      <c r="G138" s="12"/>
      <c r="H138" s="13">
        <v>0</v>
      </c>
      <c r="I138" s="6"/>
      <c r="J138" s="2"/>
      <c r="K138" s="3"/>
    </row>
    <row r="139" spans="1:11" x14ac:dyDescent="0.2">
      <c r="A139" s="81" t="s">
        <v>33</v>
      </c>
      <c r="B139" s="19" t="s">
        <v>338</v>
      </c>
      <c r="C139" s="10" t="s">
        <v>2</v>
      </c>
      <c r="D139" s="11" t="s">
        <v>196</v>
      </c>
      <c r="E139" s="12" t="s">
        <v>76</v>
      </c>
      <c r="F139" s="12" t="s">
        <v>4</v>
      </c>
      <c r="G139" s="21"/>
      <c r="H139" s="18">
        <v>0</v>
      </c>
      <c r="I139" s="5" t="s">
        <v>86</v>
      </c>
      <c r="J139" s="2" t="s">
        <v>94</v>
      </c>
      <c r="K139" s="2"/>
    </row>
    <row r="140" spans="1:11" x14ac:dyDescent="0.2">
      <c r="A140" s="82" t="s">
        <v>234</v>
      </c>
      <c r="B140" s="9"/>
      <c r="C140" s="10" t="s">
        <v>2</v>
      </c>
      <c r="D140" s="20" t="s">
        <v>1</v>
      </c>
      <c r="E140" s="21" t="s">
        <v>76</v>
      </c>
      <c r="F140" s="21" t="s">
        <v>4</v>
      </c>
      <c r="G140" s="12"/>
      <c r="H140" s="13">
        <v>0</v>
      </c>
      <c r="I140" s="6" t="s">
        <v>86</v>
      </c>
      <c r="J140" s="2" t="s">
        <v>87</v>
      </c>
      <c r="K140" s="3"/>
    </row>
    <row r="141" spans="1:11" x14ac:dyDescent="0.2">
      <c r="A141" s="9" t="s">
        <v>235</v>
      </c>
      <c r="B141" s="19" t="s">
        <v>337</v>
      </c>
      <c r="C141" s="10" t="s">
        <v>2</v>
      </c>
      <c r="D141" s="11" t="s">
        <v>1</v>
      </c>
      <c r="E141" s="12" t="s">
        <v>76</v>
      </c>
      <c r="F141" s="12" t="s">
        <v>4</v>
      </c>
      <c r="G141" s="21"/>
      <c r="H141" s="18">
        <v>250</v>
      </c>
      <c r="I141" s="5" t="s">
        <v>86</v>
      </c>
      <c r="J141" s="2" t="s">
        <v>94</v>
      </c>
      <c r="K141" s="2"/>
    </row>
    <row r="142" spans="1:11" x14ac:dyDescent="0.2">
      <c r="A142" s="82" t="s">
        <v>197</v>
      </c>
      <c r="B142" s="9" t="s">
        <v>338</v>
      </c>
      <c r="C142" s="10" t="s">
        <v>2</v>
      </c>
      <c r="D142" s="20" t="s">
        <v>198</v>
      </c>
      <c r="E142" s="21"/>
      <c r="F142" s="21" t="s">
        <v>6</v>
      </c>
      <c r="G142" s="12"/>
      <c r="H142" s="13">
        <v>0</v>
      </c>
      <c r="I142" s="6" t="s">
        <v>86</v>
      </c>
      <c r="J142" s="2" t="s">
        <v>87</v>
      </c>
      <c r="K142" s="3"/>
    </row>
    <row r="143" spans="1:11" x14ac:dyDescent="0.2">
      <c r="A143" s="81" t="s">
        <v>237</v>
      </c>
      <c r="B143" s="19"/>
      <c r="C143" s="10" t="s">
        <v>2</v>
      </c>
      <c r="D143" s="11" t="s">
        <v>1</v>
      </c>
      <c r="E143" s="12" t="s">
        <v>76</v>
      </c>
      <c r="F143" s="12" t="s">
        <v>4</v>
      </c>
      <c r="G143" s="21"/>
      <c r="H143" s="18">
        <v>0</v>
      </c>
      <c r="I143" s="5"/>
      <c r="J143" s="2"/>
      <c r="K143" s="2"/>
    </row>
    <row r="144" spans="1:11" x14ac:dyDescent="0.2">
      <c r="A144" s="9" t="s">
        <v>210</v>
      </c>
      <c r="B144" s="9" t="s">
        <v>338</v>
      </c>
      <c r="C144" s="10" t="s">
        <v>3</v>
      </c>
      <c r="D144" s="11" t="s">
        <v>211</v>
      </c>
      <c r="E144" s="12" t="s">
        <v>76</v>
      </c>
      <c r="F144" s="21" t="s">
        <v>96</v>
      </c>
      <c r="G144" s="12"/>
      <c r="H144" s="13">
        <v>0</v>
      </c>
      <c r="I144" s="6"/>
      <c r="J144" s="2"/>
      <c r="K144" s="3"/>
    </row>
    <row r="145" spans="1:11" x14ac:dyDescent="0.2">
      <c r="A145" s="9" t="s">
        <v>54</v>
      </c>
      <c r="B145" s="9" t="s">
        <v>338</v>
      </c>
      <c r="C145" s="10" t="s">
        <v>2</v>
      </c>
      <c r="D145" s="11" t="s">
        <v>1</v>
      </c>
      <c r="E145" s="21" t="s">
        <v>8</v>
      </c>
      <c r="F145" s="21" t="s">
        <v>4</v>
      </c>
      <c r="G145" s="12"/>
      <c r="H145" s="13">
        <v>620</v>
      </c>
      <c r="I145" s="6" t="s">
        <v>86</v>
      </c>
      <c r="J145" s="2" t="s">
        <v>100</v>
      </c>
      <c r="K145" s="3"/>
    </row>
    <row r="146" spans="1:11" x14ac:dyDescent="0.2">
      <c r="A146" s="19" t="s">
        <v>239</v>
      </c>
      <c r="B146" s="9" t="s">
        <v>337</v>
      </c>
      <c r="C146" s="10" t="s">
        <v>2</v>
      </c>
      <c r="D146" s="20" t="s">
        <v>1</v>
      </c>
      <c r="E146" s="21"/>
      <c r="F146" s="21" t="s">
        <v>4</v>
      </c>
      <c r="G146" s="12"/>
      <c r="H146" s="13">
        <v>0</v>
      </c>
      <c r="I146" s="6"/>
      <c r="J146" s="2"/>
      <c r="K146" s="3"/>
    </row>
    <row r="147" spans="1:11" x14ac:dyDescent="0.2">
      <c r="A147" s="9" t="s">
        <v>35</v>
      </c>
      <c r="B147" s="9" t="s">
        <v>338</v>
      </c>
      <c r="C147" s="10" t="s">
        <v>2</v>
      </c>
      <c r="D147" s="11" t="s">
        <v>1</v>
      </c>
      <c r="E147" s="12" t="s">
        <v>5</v>
      </c>
      <c r="F147" s="12" t="s">
        <v>4</v>
      </c>
      <c r="G147" s="12"/>
      <c r="H147" s="13">
        <v>300</v>
      </c>
      <c r="I147" s="5" t="s">
        <v>86</v>
      </c>
      <c r="J147" s="2" t="s">
        <v>94</v>
      </c>
      <c r="K147" s="2"/>
    </row>
    <row r="148" spans="1:11" x14ac:dyDescent="0.2">
      <c r="A148" s="19" t="s">
        <v>241</v>
      </c>
      <c r="B148" s="9" t="s">
        <v>337</v>
      </c>
      <c r="C148" s="10" t="s">
        <v>2</v>
      </c>
      <c r="D148" s="20" t="s">
        <v>242</v>
      </c>
      <c r="E148" s="21"/>
      <c r="F148" s="21" t="s">
        <v>6</v>
      </c>
      <c r="G148" s="12"/>
      <c r="H148" s="13">
        <v>100</v>
      </c>
      <c r="I148" s="6" t="s">
        <v>86</v>
      </c>
      <c r="J148" s="2" t="s">
        <v>87</v>
      </c>
      <c r="K148" s="3"/>
    </row>
    <row r="149" spans="1:11" x14ac:dyDescent="0.2">
      <c r="A149" s="79" t="s">
        <v>233</v>
      </c>
      <c r="B149" s="19" t="s">
        <v>338</v>
      </c>
      <c r="C149" s="10" t="s">
        <v>2</v>
      </c>
      <c r="D149" s="11" t="s">
        <v>1</v>
      </c>
      <c r="E149" s="12" t="s">
        <v>8</v>
      </c>
      <c r="F149" s="12" t="s">
        <v>96</v>
      </c>
      <c r="G149" s="21"/>
      <c r="H149" s="18">
        <v>100</v>
      </c>
      <c r="I149" s="5"/>
      <c r="J149" s="2"/>
      <c r="K149" s="2"/>
    </row>
    <row r="150" spans="1:11" x14ac:dyDescent="0.2">
      <c r="A150" s="9" t="s">
        <v>238</v>
      </c>
      <c r="B150" s="19" t="s">
        <v>338</v>
      </c>
      <c r="C150" s="10" t="s">
        <v>2</v>
      </c>
      <c r="D150" s="20" t="s">
        <v>1</v>
      </c>
      <c r="E150" s="12" t="s">
        <v>76</v>
      </c>
      <c r="F150" s="12" t="s">
        <v>6</v>
      </c>
      <c r="G150" s="77"/>
      <c r="H150" s="18">
        <v>400</v>
      </c>
      <c r="I150" s="5" t="s">
        <v>86</v>
      </c>
      <c r="J150" s="2"/>
      <c r="K150" s="2"/>
    </row>
    <row r="151" spans="1:11" x14ac:dyDescent="0.2">
      <c r="A151" s="9" t="s">
        <v>246</v>
      </c>
      <c r="B151" s="19"/>
      <c r="C151" s="10" t="s">
        <v>3</v>
      </c>
      <c r="D151" s="11" t="s">
        <v>247</v>
      </c>
      <c r="E151" s="12" t="s">
        <v>76</v>
      </c>
      <c r="F151" s="12" t="s">
        <v>96</v>
      </c>
      <c r="G151" s="21"/>
      <c r="H151" s="18">
        <v>0</v>
      </c>
      <c r="I151" s="5"/>
      <c r="J151" s="2"/>
      <c r="K151" s="2"/>
    </row>
    <row r="152" spans="1:11" x14ac:dyDescent="0.2">
      <c r="A152" s="19" t="s">
        <v>248</v>
      </c>
      <c r="B152" s="9" t="s">
        <v>337</v>
      </c>
      <c r="C152" s="10" t="s">
        <v>152</v>
      </c>
      <c r="D152" s="20" t="s">
        <v>1</v>
      </c>
      <c r="E152" s="21" t="s">
        <v>76</v>
      </c>
      <c r="F152" s="21" t="s">
        <v>4</v>
      </c>
      <c r="G152" s="12"/>
      <c r="H152" s="13">
        <v>0</v>
      </c>
      <c r="I152" s="6" t="s">
        <v>86</v>
      </c>
      <c r="J152" s="2" t="s">
        <v>87</v>
      </c>
      <c r="K152" s="3"/>
    </row>
    <row r="153" spans="1:11" x14ac:dyDescent="0.2">
      <c r="A153" s="9" t="s">
        <v>249</v>
      </c>
      <c r="B153" s="19" t="s">
        <v>337</v>
      </c>
      <c r="C153" s="10" t="s">
        <v>2</v>
      </c>
      <c r="D153" s="20" t="s">
        <v>1</v>
      </c>
      <c r="E153" s="12" t="s">
        <v>8</v>
      </c>
      <c r="F153" s="12" t="s">
        <v>4</v>
      </c>
      <c r="G153" s="77"/>
      <c r="H153" s="18">
        <v>800</v>
      </c>
      <c r="I153" s="5" t="s">
        <v>86</v>
      </c>
      <c r="J153" s="2" t="s">
        <v>100</v>
      </c>
      <c r="K153" s="2"/>
    </row>
    <row r="154" spans="1:11" x14ac:dyDescent="0.2">
      <c r="A154" s="81" t="s">
        <v>240</v>
      </c>
      <c r="B154" s="19" t="s">
        <v>338</v>
      </c>
      <c r="C154" s="10" t="s">
        <v>3</v>
      </c>
      <c r="D154" s="11" t="s">
        <v>1</v>
      </c>
      <c r="E154" s="12" t="s">
        <v>76</v>
      </c>
      <c r="F154" s="12" t="s">
        <v>96</v>
      </c>
      <c r="G154" s="21"/>
      <c r="H154" s="18">
        <v>0</v>
      </c>
      <c r="I154" s="5"/>
      <c r="J154" s="2"/>
      <c r="K154" s="2"/>
    </row>
    <row r="155" spans="1:11" x14ac:dyDescent="0.2">
      <c r="A155" s="9" t="s">
        <v>38</v>
      </c>
      <c r="B155" s="19" t="s">
        <v>340</v>
      </c>
      <c r="C155" s="10" t="s">
        <v>2</v>
      </c>
      <c r="D155" s="20" t="s">
        <v>1</v>
      </c>
      <c r="E155" s="12"/>
      <c r="F155" s="12" t="s">
        <v>4</v>
      </c>
      <c r="G155" s="77"/>
      <c r="H155" s="18">
        <v>1000</v>
      </c>
      <c r="I155" s="5" t="s">
        <v>93</v>
      </c>
      <c r="J155" s="2" t="s">
        <v>100</v>
      </c>
      <c r="K155" s="2"/>
    </row>
    <row r="156" spans="1:11" x14ac:dyDescent="0.2">
      <c r="A156" s="19" t="s">
        <v>37</v>
      </c>
      <c r="B156" s="9" t="s">
        <v>340</v>
      </c>
      <c r="C156" s="10" t="s">
        <v>2</v>
      </c>
      <c r="D156" s="20" t="s">
        <v>1</v>
      </c>
      <c r="E156" s="21"/>
      <c r="F156" s="21" t="s">
        <v>4</v>
      </c>
      <c r="G156" s="78"/>
      <c r="H156" s="13">
        <v>1200</v>
      </c>
      <c r="I156" s="6" t="s">
        <v>93</v>
      </c>
      <c r="J156" s="2" t="s">
        <v>100</v>
      </c>
      <c r="K156" s="3"/>
    </row>
    <row r="157" spans="1:11" x14ac:dyDescent="0.2">
      <c r="A157" s="9" t="s">
        <v>251</v>
      </c>
      <c r="B157" s="19" t="s">
        <v>337</v>
      </c>
      <c r="C157" s="10" t="s">
        <v>192</v>
      </c>
      <c r="D157" s="11"/>
      <c r="E157" s="12" t="s">
        <v>96</v>
      </c>
      <c r="F157" s="12" t="s">
        <v>96</v>
      </c>
      <c r="G157" s="21"/>
      <c r="H157" s="18">
        <v>0</v>
      </c>
      <c r="I157" s="5"/>
      <c r="J157" s="2"/>
      <c r="K157" s="2"/>
    </row>
    <row r="158" spans="1:11" x14ac:dyDescent="0.2">
      <c r="A158" s="9" t="s">
        <v>252</v>
      </c>
      <c r="B158" s="9" t="s">
        <v>337</v>
      </c>
      <c r="C158" s="10"/>
      <c r="D158" s="11"/>
      <c r="E158" s="12" t="s">
        <v>4</v>
      </c>
      <c r="F158" s="12" t="s">
        <v>4</v>
      </c>
      <c r="G158" s="12"/>
      <c r="H158" s="13">
        <v>0</v>
      </c>
      <c r="I158" s="5"/>
      <c r="J158" s="2"/>
      <c r="K158" s="2"/>
    </row>
    <row r="159" spans="1:11" x14ac:dyDescent="0.2">
      <c r="A159" s="19" t="s">
        <v>75</v>
      </c>
      <c r="B159" s="19" t="s">
        <v>337</v>
      </c>
      <c r="C159" s="10" t="s">
        <v>2</v>
      </c>
      <c r="D159" s="20" t="s">
        <v>1</v>
      </c>
      <c r="E159" s="21" t="s">
        <v>5</v>
      </c>
      <c r="F159" s="21" t="s">
        <v>4</v>
      </c>
      <c r="G159" s="77"/>
      <c r="H159" s="18">
        <v>600</v>
      </c>
      <c r="I159" s="6" t="s">
        <v>86</v>
      </c>
      <c r="J159" s="2" t="s">
        <v>100</v>
      </c>
      <c r="K159" s="3"/>
    </row>
    <row r="160" spans="1:11" x14ac:dyDescent="0.2">
      <c r="A160" s="19" t="s">
        <v>253</v>
      </c>
      <c r="B160" s="9"/>
      <c r="C160" s="10" t="s">
        <v>2</v>
      </c>
      <c r="D160" s="20" t="s">
        <v>1</v>
      </c>
      <c r="E160" s="21" t="s">
        <v>4</v>
      </c>
      <c r="F160" s="21" t="s">
        <v>4</v>
      </c>
      <c r="G160" s="12"/>
      <c r="H160" s="13">
        <v>0</v>
      </c>
      <c r="I160" s="6"/>
      <c r="J160" s="2"/>
      <c r="K160" s="3"/>
    </row>
    <row r="161" spans="1:11" x14ac:dyDescent="0.2">
      <c r="A161" s="19" t="s">
        <v>254</v>
      </c>
      <c r="B161" s="19"/>
      <c r="C161" s="10" t="s">
        <v>2</v>
      </c>
      <c r="D161" s="20" t="s">
        <v>1</v>
      </c>
      <c r="E161" s="21" t="s">
        <v>4</v>
      </c>
      <c r="F161" s="21" t="s">
        <v>4</v>
      </c>
      <c r="G161" s="21"/>
      <c r="H161" s="18">
        <v>0</v>
      </c>
      <c r="I161" s="6"/>
      <c r="J161" s="2"/>
      <c r="K161" s="3"/>
    </row>
    <row r="162" spans="1:11" x14ac:dyDescent="0.2">
      <c r="A162" s="19" t="s">
        <v>255</v>
      </c>
      <c r="B162" s="9"/>
      <c r="C162" s="10" t="s">
        <v>2</v>
      </c>
      <c r="D162" s="20" t="s">
        <v>1</v>
      </c>
      <c r="E162" s="21" t="s">
        <v>4</v>
      </c>
      <c r="F162" s="21" t="s">
        <v>4</v>
      </c>
      <c r="G162" s="12"/>
      <c r="H162" s="13">
        <v>0</v>
      </c>
      <c r="I162" s="6"/>
      <c r="J162" s="2"/>
      <c r="K162" s="3"/>
    </row>
    <row r="163" spans="1:11" x14ac:dyDescent="0.2">
      <c r="A163" s="19" t="s">
        <v>256</v>
      </c>
      <c r="B163" s="19"/>
      <c r="C163" s="10" t="s">
        <v>2</v>
      </c>
      <c r="D163" s="20" t="s">
        <v>1</v>
      </c>
      <c r="E163" s="21" t="s">
        <v>4</v>
      </c>
      <c r="F163" s="21" t="s">
        <v>4</v>
      </c>
      <c r="G163" s="21"/>
      <c r="H163" s="18">
        <v>0</v>
      </c>
      <c r="I163" s="6"/>
      <c r="J163" s="2"/>
      <c r="K163" s="3"/>
    </row>
    <row r="164" spans="1:11" x14ac:dyDescent="0.2">
      <c r="A164" s="81" t="s">
        <v>243</v>
      </c>
      <c r="B164" s="19" t="s">
        <v>338</v>
      </c>
      <c r="C164" s="10" t="s">
        <v>3</v>
      </c>
      <c r="D164" s="11" t="s">
        <v>244</v>
      </c>
      <c r="E164" s="12" t="s">
        <v>76</v>
      </c>
      <c r="F164" s="12" t="s">
        <v>96</v>
      </c>
      <c r="G164" s="21"/>
      <c r="H164" s="18">
        <v>0</v>
      </c>
      <c r="I164" s="5"/>
      <c r="J164" s="2"/>
      <c r="K164" s="2"/>
    </row>
    <row r="165" spans="1:11" x14ac:dyDescent="0.2">
      <c r="A165" s="19" t="s">
        <v>257</v>
      </c>
      <c r="B165" s="19" t="s">
        <v>337</v>
      </c>
      <c r="C165" s="10" t="s">
        <v>2</v>
      </c>
      <c r="D165" s="20" t="s">
        <v>1</v>
      </c>
      <c r="E165" s="21" t="s">
        <v>76</v>
      </c>
      <c r="F165" s="21" t="s">
        <v>6</v>
      </c>
      <c r="G165" s="77"/>
      <c r="H165" s="18">
        <v>200</v>
      </c>
      <c r="I165" s="6" t="s">
        <v>86</v>
      </c>
      <c r="J165" s="2" t="s">
        <v>87</v>
      </c>
      <c r="K165" s="3"/>
    </row>
    <row r="166" spans="1:11" x14ac:dyDescent="0.2">
      <c r="A166" s="9" t="s">
        <v>258</v>
      </c>
      <c r="B166" s="9"/>
      <c r="C166" s="10" t="s">
        <v>2</v>
      </c>
      <c r="D166" s="11" t="s">
        <v>1</v>
      </c>
      <c r="E166" s="12" t="s">
        <v>5</v>
      </c>
      <c r="F166" s="12" t="s">
        <v>4</v>
      </c>
      <c r="G166" s="12"/>
      <c r="H166" s="13">
        <v>100</v>
      </c>
      <c r="I166" s="5" t="s">
        <v>86</v>
      </c>
      <c r="J166" s="2" t="s">
        <v>88</v>
      </c>
      <c r="K166" s="2"/>
    </row>
    <row r="167" spans="1:11" x14ac:dyDescent="0.2">
      <c r="A167" s="9" t="s">
        <v>55</v>
      </c>
      <c r="B167" s="19"/>
      <c r="C167" s="10" t="s">
        <v>3</v>
      </c>
      <c r="D167" s="11"/>
      <c r="E167" s="12" t="s">
        <v>76</v>
      </c>
      <c r="F167" s="12" t="s">
        <v>4</v>
      </c>
      <c r="G167" s="21"/>
      <c r="H167" s="18">
        <v>0</v>
      </c>
      <c r="I167" s="5"/>
      <c r="J167" s="2"/>
      <c r="K167" s="2"/>
    </row>
    <row r="168" spans="1:11" x14ac:dyDescent="0.2">
      <c r="A168" s="19" t="s">
        <v>259</v>
      </c>
      <c r="B168" s="9" t="s">
        <v>337</v>
      </c>
      <c r="C168" s="10" t="s">
        <v>152</v>
      </c>
      <c r="D168" s="20" t="s">
        <v>1</v>
      </c>
      <c r="E168" s="21" t="s">
        <v>9</v>
      </c>
      <c r="F168" s="21" t="s">
        <v>96</v>
      </c>
      <c r="G168" s="78"/>
      <c r="H168" s="13">
        <v>200</v>
      </c>
      <c r="I168" s="6" t="s">
        <v>86</v>
      </c>
      <c r="J168" s="2" t="s">
        <v>87</v>
      </c>
      <c r="K168" s="3"/>
    </row>
    <row r="169" spans="1:11" x14ac:dyDescent="0.2">
      <c r="A169" s="19" t="s">
        <v>260</v>
      </c>
      <c r="B169" s="19"/>
      <c r="C169" s="10" t="s">
        <v>2</v>
      </c>
      <c r="D169" s="11" t="s">
        <v>1</v>
      </c>
      <c r="E169" s="21" t="s">
        <v>4</v>
      </c>
      <c r="F169" s="21" t="s">
        <v>4</v>
      </c>
      <c r="G169" s="21"/>
      <c r="H169" s="18">
        <v>0</v>
      </c>
      <c r="I169" s="6"/>
      <c r="J169" s="2"/>
      <c r="K169" s="3"/>
    </row>
    <row r="170" spans="1:11" x14ac:dyDescent="0.2">
      <c r="A170" s="19" t="s">
        <v>261</v>
      </c>
      <c r="B170" s="9"/>
      <c r="C170" s="10" t="s">
        <v>2</v>
      </c>
      <c r="D170" s="11" t="s">
        <v>1</v>
      </c>
      <c r="E170" s="21" t="s">
        <v>4</v>
      </c>
      <c r="F170" s="21" t="s">
        <v>4</v>
      </c>
      <c r="G170" s="12"/>
      <c r="H170" s="13">
        <v>500</v>
      </c>
      <c r="I170" s="6"/>
      <c r="J170" s="2"/>
      <c r="K170" s="3"/>
    </row>
    <row r="171" spans="1:11" x14ac:dyDescent="0.2">
      <c r="A171" s="9" t="s">
        <v>40</v>
      </c>
      <c r="B171" s="19" t="s">
        <v>337</v>
      </c>
      <c r="C171" s="10" t="s">
        <v>2</v>
      </c>
      <c r="D171" s="11" t="s">
        <v>1</v>
      </c>
      <c r="E171" s="12" t="s">
        <v>5</v>
      </c>
      <c r="F171" s="12" t="s">
        <v>4</v>
      </c>
      <c r="G171" s="21"/>
      <c r="H171" s="18">
        <v>200</v>
      </c>
      <c r="I171" s="5" t="s">
        <v>86</v>
      </c>
      <c r="J171" s="2" t="s">
        <v>94</v>
      </c>
      <c r="K171" s="2"/>
    </row>
    <row r="172" spans="1:11" x14ac:dyDescent="0.2">
      <c r="A172" s="82" t="s">
        <v>245</v>
      </c>
      <c r="B172" s="9" t="s">
        <v>338</v>
      </c>
      <c r="C172" s="10" t="s">
        <v>2</v>
      </c>
      <c r="D172" s="20" t="s">
        <v>1</v>
      </c>
      <c r="E172" s="21" t="s">
        <v>6</v>
      </c>
      <c r="F172" s="21" t="s">
        <v>6</v>
      </c>
      <c r="G172" s="12"/>
      <c r="H172" s="13">
        <v>200</v>
      </c>
      <c r="I172" s="6" t="s">
        <v>86</v>
      </c>
      <c r="J172" s="2" t="s">
        <v>100</v>
      </c>
      <c r="K172" s="3"/>
    </row>
    <row r="173" spans="1:11" x14ac:dyDescent="0.2">
      <c r="A173" s="9" t="s">
        <v>42</v>
      </c>
      <c r="B173" s="19" t="s">
        <v>340</v>
      </c>
      <c r="C173" s="10" t="s">
        <v>2</v>
      </c>
      <c r="D173" s="11" t="s">
        <v>1</v>
      </c>
      <c r="E173" s="12" t="s">
        <v>4</v>
      </c>
      <c r="F173" s="12" t="s">
        <v>4</v>
      </c>
      <c r="G173" s="77"/>
      <c r="H173" s="18">
        <v>750</v>
      </c>
      <c r="I173" s="5" t="s">
        <v>86</v>
      </c>
      <c r="J173" s="2" t="s">
        <v>128</v>
      </c>
      <c r="K173" s="2"/>
    </row>
    <row r="174" spans="1:11" x14ac:dyDescent="0.2">
      <c r="A174" s="19" t="s">
        <v>262</v>
      </c>
      <c r="B174" s="9" t="s">
        <v>337</v>
      </c>
      <c r="C174" s="10" t="s">
        <v>2</v>
      </c>
      <c r="D174" s="11" t="s">
        <v>1</v>
      </c>
      <c r="E174" s="21" t="s">
        <v>76</v>
      </c>
      <c r="F174" s="21" t="s">
        <v>6</v>
      </c>
      <c r="G174" s="12"/>
      <c r="H174" s="13">
        <v>350</v>
      </c>
      <c r="I174" s="6" t="s">
        <v>86</v>
      </c>
      <c r="J174" s="2" t="s">
        <v>94</v>
      </c>
      <c r="K174" s="3"/>
    </row>
    <row r="175" spans="1:11" x14ac:dyDescent="0.2">
      <c r="A175" s="9" t="s">
        <v>263</v>
      </c>
      <c r="B175" s="19" t="s">
        <v>337</v>
      </c>
      <c r="C175" s="10" t="s">
        <v>2</v>
      </c>
      <c r="D175" s="11" t="s">
        <v>1</v>
      </c>
      <c r="E175" s="21" t="s">
        <v>9</v>
      </c>
      <c r="F175" s="21" t="s">
        <v>96</v>
      </c>
      <c r="G175" s="77"/>
      <c r="H175" s="18">
        <v>260</v>
      </c>
      <c r="I175" s="6" t="s">
        <v>86</v>
      </c>
      <c r="J175" s="2" t="s">
        <v>87</v>
      </c>
      <c r="K175" s="3"/>
    </row>
    <row r="176" spans="1:11" x14ac:dyDescent="0.2">
      <c r="A176" s="9" t="s">
        <v>39</v>
      </c>
      <c r="B176" s="9" t="s">
        <v>339</v>
      </c>
      <c r="C176" s="10" t="s">
        <v>2</v>
      </c>
      <c r="D176" s="11" t="s">
        <v>1</v>
      </c>
      <c r="E176" s="12"/>
      <c r="F176" s="12" t="s">
        <v>96</v>
      </c>
      <c r="G176" s="78"/>
      <c r="H176" s="13">
        <v>300</v>
      </c>
      <c r="I176" s="5" t="s">
        <v>86</v>
      </c>
      <c r="J176" s="2" t="s">
        <v>94</v>
      </c>
      <c r="K176" s="2"/>
    </row>
    <row r="177" spans="1:11" x14ac:dyDescent="0.2">
      <c r="A177" s="82" t="s">
        <v>41</v>
      </c>
      <c r="B177" s="9" t="s">
        <v>338</v>
      </c>
      <c r="C177" s="10" t="s">
        <v>2</v>
      </c>
      <c r="D177" s="11" t="s">
        <v>1</v>
      </c>
      <c r="E177" s="21"/>
      <c r="F177" s="21" t="s">
        <v>6</v>
      </c>
      <c r="G177" s="12"/>
      <c r="H177" s="13">
        <v>300</v>
      </c>
      <c r="I177" s="6" t="s">
        <v>86</v>
      </c>
      <c r="J177" s="2" t="s">
        <v>100</v>
      </c>
      <c r="K177" s="3"/>
    </row>
    <row r="178" spans="1:11" x14ac:dyDescent="0.2">
      <c r="A178" s="19" t="s">
        <v>44</v>
      </c>
      <c r="B178" s="9" t="s">
        <v>337</v>
      </c>
      <c r="C178" s="10" t="s">
        <v>2</v>
      </c>
      <c r="D178" s="20" t="s">
        <v>1</v>
      </c>
      <c r="E178" s="12" t="s">
        <v>76</v>
      </c>
      <c r="F178" s="12" t="s">
        <v>6</v>
      </c>
      <c r="G178" s="12"/>
      <c r="H178" s="13">
        <v>300</v>
      </c>
      <c r="I178" s="5" t="s">
        <v>86</v>
      </c>
      <c r="J178" s="2" t="s">
        <v>87</v>
      </c>
      <c r="K178" s="2"/>
    </row>
    <row r="179" spans="1:11" x14ac:dyDescent="0.2">
      <c r="A179" s="9" t="s">
        <v>46</v>
      </c>
      <c r="B179" s="19" t="s">
        <v>337</v>
      </c>
      <c r="C179" s="10" t="s">
        <v>2</v>
      </c>
      <c r="D179" s="11" t="s">
        <v>1</v>
      </c>
      <c r="E179" s="12" t="s">
        <v>5</v>
      </c>
      <c r="F179" s="12" t="s">
        <v>6</v>
      </c>
      <c r="G179" s="77"/>
      <c r="H179" s="18">
        <v>300</v>
      </c>
      <c r="I179" s="5" t="s">
        <v>86</v>
      </c>
      <c r="J179" s="2" t="s">
        <v>128</v>
      </c>
      <c r="K179" s="2"/>
    </row>
    <row r="180" spans="1:11" x14ac:dyDescent="0.2">
      <c r="A180" s="19" t="s">
        <v>45</v>
      </c>
      <c r="B180" s="9" t="s">
        <v>337</v>
      </c>
      <c r="C180" s="10" t="s">
        <v>2</v>
      </c>
      <c r="D180" s="20" t="s">
        <v>1</v>
      </c>
      <c r="E180" s="21"/>
      <c r="F180" s="21" t="s">
        <v>4</v>
      </c>
      <c r="G180" s="12"/>
      <c r="H180" s="13">
        <v>850</v>
      </c>
      <c r="I180" s="6" t="s">
        <v>86</v>
      </c>
      <c r="J180" s="2" t="s">
        <v>100</v>
      </c>
      <c r="K180" s="3"/>
    </row>
    <row r="181" spans="1:11" x14ac:dyDescent="0.2">
      <c r="A181" s="9" t="s">
        <v>266</v>
      </c>
      <c r="B181" s="19" t="s">
        <v>337</v>
      </c>
      <c r="C181" s="10" t="s">
        <v>2</v>
      </c>
      <c r="D181" s="11" t="s">
        <v>1</v>
      </c>
      <c r="E181" s="12"/>
      <c r="F181" s="12" t="s">
        <v>6</v>
      </c>
      <c r="G181" s="21"/>
      <c r="H181" s="18">
        <v>200</v>
      </c>
      <c r="I181" s="5" t="s">
        <v>86</v>
      </c>
      <c r="J181" s="2" t="s">
        <v>88</v>
      </c>
      <c r="K181" s="2"/>
    </row>
    <row r="182" spans="1:11" x14ac:dyDescent="0.2">
      <c r="A182" s="9" t="s">
        <v>43</v>
      </c>
      <c r="B182" s="19" t="s">
        <v>339</v>
      </c>
      <c r="C182" s="10" t="s">
        <v>152</v>
      </c>
      <c r="D182" s="11"/>
      <c r="E182" s="21"/>
      <c r="F182" s="21" t="s">
        <v>6</v>
      </c>
      <c r="G182" s="77"/>
      <c r="H182" s="18">
        <v>0</v>
      </c>
      <c r="I182" s="6" t="s">
        <v>86</v>
      </c>
      <c r="J182" s="2" t="s">
        <v>128</v>
      </c>
      <c r="K182" s="3"/>
    </row>
    <row r="183" spans="1:11" x14ac:dyDescent="0.2">
      <c r="A183" s="19" t="s">
        <v>267</v>
      </c>
      <c r="B183" s="19"/>
      <c r="C183" s="10" t="s">
        <v>2</v>
      </c>
      <c r="D183" s="20" t="s">
        <v>268</v>
      </c>
      <c r="E183" s="21" t="s">
        <v>76</v>
      </c>
      <c r="F183" s="21" t="s">
        <v>6</v>
      </c>
      <c r="G183" s="12"/>
      <c r="H183" s="18">
        <v>0</v>
      </c>
      <c r="I183" s="5" t="s">
        <v>86</v>
      </c>
      <c r="J183" s="2" t="s">
        <v>87</v>
      </c>
      <c r="K183" s="3"/>
    </row>
    <row r="184" spans="1:11" x14ac:dyDescent="0.2">
      <c r="A184" s="81" t="s">
        <v>269</v>
      </c>
      <c r="B184" s="9" t="s">
        <v>338</v>
      </c>
      <c r="C184" s="10" t="s">
        <v>2</v>
      </c>
      <c r="D184" s="11" t="s">
        <v>270</v>
      </c>
      <c r="E184" s="12"/>
      <c r="F184" s="12" t="s">
        <v>6</v>
      </c>
      <c r="G184" s="77"/>
      <c r="H184" s="13">
        <v>1000</v>
      </c>
      <c r="I184" s="5" t="s">
        <v>86</v>
      </c>
      <c r="J184" s="2" t="s">
        <v>100</v>
      </c>
      <c r="K184" s="2"/>
    </row>
    <row r="185" spans="1:11" x14ac:dyDescent="0.2">
      <c r="A185" s="19" t="s">
        <v>48</v>
      </c>
      <c r="B185" s="19"/>
      <c r="C185" s="10" t="s">
        <v>152</v>
      </c>
      <c r="D185" s="20" t="s">
        <v>1</v>
      </c>
      <c r="E185" s="21" t="s">
        <v>76</v>
      </c>
      <c r="F185" s="21" t="s">
        <v>4</v>
      </c>
      <c r="G185" s="12"/>
      <c r="H185" s="18">
        <v>0</v>
      </c>
      <c r="I185" s="6" t="s">
        <v>86</v>
      </c>
      <c r="J185" s="2" t="s">
        <v>87</v>
      </c>
      <c r="K185" s="3"/>
    </row>
    <row r="186" spans="1:11" x14ac:dyDescent="0.2">
      <c r="A186" s="9" t="s">
        <v>271</v>
      </c>
      <c r="B186" s="9" t="s">
        <v>337</v>
      </c>
      <c r="C186" s="10" t="s">
        <v>2</v>
      </c>
      <c r="D186" s="11" t="s">
        <v>1</v>
      </c>
      <c r="E186" s="12" t="s">
        <v>9</v>
      </c>
      <c r="F186" s="12" t="s">
        <v>4</v>
      </c>
      <c r="G186" s="21"/>
      <c r="H186" s="13">
        <v>550</v>
      </c>
      <c r="I186" s="5" t="s">
        <v>86</v>
      </c>
      <c r="J186" s="2" t="s">
        <v>100</v>
      </c>
      <c r="K186" s="2"/>
    </row>
    <row r="187" spans="1:11" x14ac:dyDescent="0.2">
      <c r="A187" s="19" t="s">
        <v>49</v>
      </c>
      <c r="B187" s="19" t="s">
        <v>337</v>
      </c>
      <c r="C187" s="10" t="s">
        <v>2</v>
      </c>
      <c r="D187" s="20" t="s">
        <v>1</v>
      </c>
      <c r="E187" s="21"/>
      <c r="F187" s="21" t="s">
        <v>4</v>
      </c>
      <c r="G187" s="12"/>
      <c r="H187" s="18">
        <v>0</v>
      </c>
      <c r="I187" s="6"/>
      <c r="J187" s="2"/>
      <c r="K187" s="3"/>
    </row>
    <row r="188" spans="1:11" x14ac:dyDescent="0.2">
      <c r="H188" s="8">
        <f>SUM(H2:H187)</f>
        <v>46520</v>
      </c>
    </row>
  </sheetData>
  <autoFilter ref="A1:K188" xr:uid="{66B978AC-54CD-4247-B35A-B7992324732D}"/>
  <conditionalFormatting sqref="C2:C187">
    <cfRule type="cellIs" dxfId="10" priority="2" operator="equal">
      <formula>"НУЛЕВО"</formula>
    </cfRule>
    <cfRule type="containsText" dxfId="9" priority="7" operator="containsText" text="БЕЗ ДДС">
      <formula>NOT(ISERROR(SEARCH("БЕЗ ДДС",C2)))</formula>
    </cfRule>
    <cfRule type="containsText" dxfId="8" priority="8" operator="containsText" text="БЕЗ ДЕЙНОСТ">
      <formula>NOT(ISERROR(SEARCH("БЕЗ ДЕЙНОСТ",C2)))</formula>
    </cfRule>
    <cfRule type="containsText" dxfId="7" priority="9" operator="containsText" text="АКТИВНА">
      <formula>NOT(ISERROR(SEARCH("АКТИВНА",C2)))</formula>
    </cfRule>
  </conditionalFormatting>
  <conditionalFormatting sqref="C156">
    <cfRule type="containsBlanks" dxfId="6" priority="3">
      <formula>LEN(TRIM(C156))=0</formula>
    </cfRule>
    <cfRule type="containsText" dxfId="5" priority="4" operator="containsText" text="ЗА ОТМЯТАНЕ">
      <formula>NOT(ISERROR(SEARCH("ЗА ОТМЯТАНЕ",C156)))</formula>
    </cfRule>
    <cfRule type="containsText" dxfId="4" priority="5" operator="containsText" text="ЗА ПОДАВАНЕ">
      <formula>NOT(ISERROR(SEARCH("ЗА ПОДАВАНЕ",C156)))</formula>
    </cfRule>
    <cfRule type="containsText" dxfId="3" priority="6" operator="containsText" text="ОТМЕТНАТО">
      <formula>NOT(ISERROR(SEARCH("ОТМЕТНАТО",C156)))</formula>
    </cfRule>
  </conditionalFormatting>
  <conditionalFormatting sqref="D1:D1048576">
    <cfRule type="containsText" dxfId="2" priority="1" operator="containsText" text="NULA">
      <formula>NOT(ISERROR(SEARCH("NULA",D1)))</formula>
    </cfRule>
  </conditionalFormatting>
  <dataValidations count="4">
    <dataValidation type="list" allowBlank="1" showInputMessage="1" showErrorMessage="1" sqref="C2:C187" xr:uid="{A659D95E-6732-4D2D-8BFC-94B98CF904F8}">
      <formula1>"АКТИВНА,БЕЗ ДДС,БЕЗ ДЕЙНОСТ,НУЛЕВО"</formula1>
    </dataValidation>
    <dataValidation type="list" allowBlank="1" showInputMessage="1" showErrorMessage="1" sqref="K2:K187" xr:uid="{39703B26-D1D0-47B8-84E1-4C45C1DC9A53}">
      <formula1>"ДА,НЕ"</formula1>
    </dataValidation>
    <dataValidation type="list" allowBlank="1" showInputMessage="1" showErrorMessage="1" sqref="J2:J187" xr:uid="{426DD6F3-AB62-4197-B4DB-1E247FFDF8D4}">
      <formula1>"СОЛ,ДУК,А1,Служители,СОЛ+,ДУК+"</formula1>
    </dataValidation>
    <dataValidation type="list" allowBlank="1" showInputMessage="1" showErrorMessage="1" sqref="B2:B187" xr:uid="{5838DB17-98D2-7D4A-9ECD-BFF1BFF90CCE}">
      <formula1>$M$5:$M$8</formula1>
    </dataValidation>
  </dataValidations>
  <pageMargins left="0.7" right="0.7" top="0.75" bottom="0.75" header="0.3" footer="0.3"/>
  <pageSetup paperSize="9" scale="29" fitToHeight="0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8EFC322-9657-43AA-BF3F-4F9468D8CB09}">
          <x14:formula1>
            <xm:f>Lists!$E$4:$E$10</xm:f>
          </x14:formula1>
          <xm:sqref>I2:I187 G2:G187</xm:sqref>
        </x14:dataValidation>
        <x14:dataValidation type="list" allowBlank="1" showInputMessage="1" showErrorMessage="1" xr:uid="{480AB27F-1D8A-4FCD-AA95-C7B494AE5107}">
          <x14:formula1>
            <xm:f>Lists!$D$4:$D$19</xm:f>
          </x14:formula1>
          <xm:sqref>E2:F187 I2:I187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3A5E-9B9F-7A45-A8D0-DB3CF96C92D2}">
  <dimension ref="A1:J18"/>
  <sheetViews>
    <sheetView workbookViewId="0">
      <selection activeCell="K18" sqref="K18"/>
    </sheetView>
  </sheetViews>
  <sheetFormatPr baseColWidth="10" defaultRowHeight="64" customHeight="1" x14ac:dyDescent="0.2"/>
  <cols>
    <col min="1" max="1" width="42.83203125" style="22" bestFit="1" customWidth="1"/>
    <col min="2" max="3" width="18.1640625" style="22" customWidth="1"/>
    <col min="4" max="4" width="25" style="22" customWidth="1"/>
    <col min="5" max="8" width="18.1640625" style="22" customWidth="1"/>
    <col min="9" max="9" width="11" style="22" bestFit="1" customWidth="1"/>
    <col min="10" max="256" width="37.33203125" style="22" customWidth="1"/>
    <col min="257" max="16384" width="10.83203125" style="22"/>
  </cols>
  <sheetData>
    <row r="1" spans="1:10" ht="28" customHeight="1" thickBot="1" x14ac:dyDescent="0.25">
      <c r="A1" s="39" t="s">
        <v>302</v>
      </c>
      <c r="B1" s="40" t="s">
        <v>301</v>
      </c>
      <c r="C1" s="41" t="s">
        <v>300</v>
      </c>
      <c r="D1" s="42" t="s">
        <v>299</v>
      </c>
      <c r="E1" s="40" t="s">
        <v>298</v>
      </c>
      <c r="F1" s="40" t="s">
        <v>297</v>
      </c>
      <c r="G1" s="42" t="s">
        <v>296</v>
      </c>
      <c r="H1" s="42" t="s">
        <v>295</v>
      </c>
      <c r="I1" s="43">
        <v>0.18920000000000001</v>
      </c>
      <c r="J1">
        <f>COUNTA(A2:A21)</f>
        <v>15</v>
      </c>
    </row>
    <row r="2" spans="1:10" ht="28" customHeight="1" x14ac:dyDescent="0.25">
      <c r="A2" s="44" t="s">
        <v>278</v>
      </c>
      <c r="B2" s="45">
        <v>1000</v>
      </c>
      <c r="C2" s="45">
        <v>1000</v>
      </c>
      <c r="D2" s="45">
        <f t="shared" ref="D2:D16" si="0">C2*$I$1</f>
        <v>189.20000000000002</v>
      </c>
      <c r="E2" s="46">
        <v>776</v>
      </c>
      <c r="F2" s="45">
        <f t="shared" ref="F2:F16" si="1">B2-E2</f>
        <v>224</v>
      </c>
      <c r="G2" s="45">
        <f t="shared" ref="G2:G16" si="2">C2+D2</f>
        <v>1189.2</v>
      </c>
      <c r="H2" s="47">
        <f>G2+F2</f>
        <v>1413.2</v>
      </c>
      <c r="I2" s="48"/>
    </row>
    <row r="3" spans="1:10" ht="28" customHeight="1" x14ac:dyDescent="0.25">
      <c r="A3" s="44" t="s">
        <v>315</v>
      </c>
      <c r="B3" s="45">
        <v>1000</v>
      </c>
      <c r="C3" s="45">
        <v>1000</v>
      </c>
      <c r="D3" s="45">
        <f t="shared" si="0"/>
        <v>189.20000000000002</v>
      </c>
      <c r="E3" s="46">
        <v>776</v>
      </c>
      <c r="F3" s="45">
        <f t="shared" si="1"/>
        <v>224</v>
      </c>
      <c r="G3" s="45">
        <f t="shared" si="2"/>
        <v>1189.2</v>
      </c>
      <c r="H3" s="47">
        <f>G3+F3</f>
        <v>1413.2</v>
      </c>
      <c r="I3" s="48"/>
    </row>
    <row r="4" spans="1:10" ht="28" customHeight="1" x14ac:dyDescent="0.25">
      <c r="A4" s="44" t="s">
        <v>316</v>
      </c>
      <c r="B4" s="45">
        <v>800</v>
      </c>
      <c r="C4" s="45">
        <v>700</v>
      </c>
      <c r="D4" s="45">
        <f t="shared" si="0"/>
        <v>132.44</v>
      </c>
      <c r="E4" s="46">
        <v>544</v>
      </c>
      <c r="F4" s="45">
        <f t="shared" si="1"/>
        <v>256</v>
      </c>
      <c r="G4" s="45">
        <f t="shared" si="2"/>
        <v>832.44</v>
      </c>
      <c r="H4" s="47"/>
      <c r="I4" s="48"/>
    </row>
    <row r="5" spans="1:10" ht="28" customHeight="1" x14ac:dyDescent="0.25">
      <c r="A5" s="44" t="s">
        <v>317</v>
      </c>
      <c r="B5" s="45">
        <v>1200</v>
      </c>
      <c r="C5" s="45">
        <v>1000</v>
      </c>
      <c r="D5" s="45">
        <f t="shared" si="0"/>
        <v>189.20000000000002</v>
      </c>
      <c r="E5" s="46">
        <v>776</v>
      </c>
      <c r="F5" s="45">
        <f t="shared" si="1"/>
        <v>424</v>
      </c>
      <c r="G5" s="45">
        <f t="shared" si="2"/>
        <v>1189.2</v>
      </c>
      <c r="H5" s="47">
        <f>G5+F5</f>
        <v>1613.2</v>
      </c>
      <c r="I5" s="48"/>
    </row>
    <row r="6" spans="1:10" ht="28" customHeight="1" x14ac:dyDescent="0.25">
      <c r="A6" s="44" t="s">
        <v>76</v>
      </c>
      <c r="B6" s="45">
        <v>1200</v>
      </c>
      <c r="C6" s="45">
        <v>0</v>
      </c>
      <c r="D6" s="45">
        <f t="shared" si="0"/>
        <v>0</v>
      </c>
      <c r="E6" s="46">
        <v>0</v>
      </c>
      <c r="F6" s="45">
        <f t="shared" si="1"/>
        <v>1200</v>
      </c>
      <c r="G6" s="45">
        <f t="shared" si="2"/>
        <v>0</v>
      </c>
      <c r="H6" s="47">
        <v>1200</v>
      </c>
      <c r="I6" s="48"/>
    </row>
    <row r="7" spans="1:10" ht="28" customHeight="1" x14ac:dyDescent="0.25">
      <c r="A7" s="44" t="s">
        <v>318</v>
      </c>
      <c r="B7" s="45">
        <v>1280</v>
      </c>
      <c r="C7" s="45">
        <v>1000</v>
      </c>
      <c r="D7" s="45">
        <f t="shared" si="0"/>
        <v>189.20000000000002</v>
      </c>
      <c r="E7" s="46">
        <v>776</v>
      </c>
      <c r="F7" s="45">
        <f t="shared" si="1"/>
        <v>504</v>
      </c>
      <c r="G7" s="45">
        <f t="shared" si="2"/>
        <v>1189.2</v>
      </c>
      <c r="H7" s="47">
        <f>G7+F7</f>
        <v>1693.2</v>
      </c>
      <c r="I7" s="48"/>
    </row>
    <row r="8" spans="1:10" ht="28" customHeight="1" x14ac:dyDescent="0.25">
      <c r="A8" s="44" t="s">
        <v>5</v>
      </c>
      <c r="B8" s="45">
        <v>950</v>
      </c>
      <c r="C8" s="45">
        <v>1000</v>
      </c>
      <c r="D8" s="45">
        <f t="shared" si="0"/>
        <v>189.20000000000002</v>
      </c>
      <c r="E8" s="46">
        <v>776</v>
      </c>
      <c r="F8" s="45">
        <f t="shared" si="1"/>
        <v>174</v>
      </c>
      <c r="G8" s="45">
        <f t="shared" si="2"/>
        <v>1189.2</v>
      </c>
      <c r="H8" s="47">
        <f t="shared" ref="H8:H9" si="3">G8+F8</f>
        <v>1363.2</v>
      </c>
      <c r="I8" s="48"/>
    </row>
    <row r="9" spans="1:10" ht="25" customHeight="1" x14ac:dyDescent="0.25">
      <c r="A9" s="44" t="s">
        <v>319</v>
      </c>
      <c r="B9" s="45">
        <v>1175</v>
      </c>
      <c r="C9" s="45">
        <v>1000</v>
      </c>
      <c r="D9" s="45">
        <f t="shared" si="0"/>
        <v>189.20000000000002</v>
      </c>
      <c r="E9" s="46">
        <v>776</v>
      </c>
      <c r="F9" s="45">
        <f t="shared" si="1"/>
        <v>399</v>
      </c>
      <c r="G9" s="45">
        <f t="shared" si="2"/>
        <v>1189.2</v>
      </c>
      <c r="H9" s="47">
        <f t="shared" si="3"/>
        <v>1588.2</v>
      </c>
      <c r="I9" s="48"/>
    </row>
    <row r="10" spans="1:10" ht="28" customHeight="1" x14ac:dyDescent="0.25">
      <c r="A10" s="44" t="s">
        <v>314</v>
      </c>
      <c r="B10" s="45">
        <v>1280</v>
      </c>
      <c r="C10" s="45">
        <v>1000</v>
      </c>
      <c r="D10" s="45">
        <f t="shared" si="0"/>
        <v>189.20000000000002</v>
      </c>
      <c r="E10" s="46">
        <v>776</v>
      </c>
      <c r="F10" s="45">
        <f t="shared" si="1"/>
        <v>504</v>
      </c>
      <c r="G10" s="45">
        <f t="shared" si="2"/>
        <v>1189.2</v>
      </c>
      <c r="H10" s="47">
        <f t="shared" ref="H10:H16" si="4">G10+F10</f>
        <v>1693.2</v>
      </c>
      <c r="I10" s="48"/>
    </row>
    <row r="11" spans="1:10" ht="28" customHeight="1" x14ac:dyDescent="0.25">
      <c r="A11" s="44" t="s">
        <v>276</v>
      </c>
      <c r="B11" s="45">
        <v>1250</v>
      </c>
      <c r="C11" s="45">
        <v>1000</v>
      </c>
      <c r="D11" s="45">
        <f t="shared" si="0"/>
        <v>189.20000000000002</v>
      </c>
      <c r="E11" s="46">
        <v>776</v>
      </c>
      <c r="F11" s="45">
        <f t="shared" si="1"/>
        <v>474</v>
      </c>
      <c r="G11" s="45">
        <f t="shared" si="2"/>
        <v>1189.2</v>
      </c>
      <c r="H11" s="47">
        <f t="shared" si="4"/>
        <v>1663.2</v>
      </c>
      <c r="I11" s="48"/>
    </row>
    <row r="12" spans="1:10" ht="28" customHeight="1" x14ac:dyDescent="0.25">
      <c r="A12" s="44" t="s">
        <v>7</v>
      </c>
      <c r="B12" s="45">
        <v>1200</v>
      </c>
      <c r="C12" s="45">
        <v>0</v>
      </c>
      <c r="D12" s="45">
        <f t="shared" si="0"/>
        <v>0</v>
      </c>
      <c r="E12" s="46">
        <v>0</v>
      </c>
      <c r="F12" s="45">
        <f t="shared" si="1"/>
        <v>1200</v>
      </c>
      <c r="G12" s="45">
        <f t="shared" si="2"/>
        <v>0</v>
      </c>
      <c r="H12" s="47">
        <f t="shared" si="4"/>
        <v>1200</v>
      </c>
      <c r="I12" s="48"/>
    </row>
    <row r="13" spans="1:10" ht="28" customHeight="1" x14ac:dyDescent="0.25">
      <c r="A13" s="44" t="s">
        <v>320</v>
      </c>
      <c r="B13" s="45">
        <v>1050</v>
      </c>
      <c r="C13" s="45">
        <v>1000</v>
      </c>
      <c r="D13" s="45">
        <f t="shared" si="0"/>
        <v>189.20000000000002</v>
      </c>
      <c r="E13" s="46">
        <v>776</v>
      </c>
      <c r="F13" s="45">
        <f t="shared" si="1"/>
        <v>274</v>
      </c>
      <c r="G13" s="45">
        <f t="shared" si="2"/>
        <v>1189.2</v>
      </c>
      <c r="H13" s="47">
        <f t="shared" si="4"/>
        <v>1463.2</v>
      </c>
      <c r="I13" s="48"/>
    </row>
    <row r="14" spans="1:10" ht="28" customHeight="1" x14ac:dyDescent="0.25">
      <c r="A14" s="44" t="s">
        <v>96</v>
      </c>
      <c r="B14" s="45">
        <v>1533.88</v>
      </c>
      <c r="C14" s="45">
        <v>1976.7</v>
      </c>
      <c r="D14" s="45">
        <f t="shared" si="0"/>
        <v>373.99164000000002</v>
      </c>
      <c r="E14" s="46">
        <v>1533.88</v>
      </c>
      <c r="F14" s="45">
        <f t="shared" si="1"/>
        <v>0</v>
      </c>
      <c r="G14" s="45">
        <f t="shared" si="2"/>
        <v>2350.69164</v>
      </c>
      <c r="H14" s="47">
        <f t="shared" si="4"/>
        <v>2350.69164</v>
      </c>
      <c r="I14" s="48"/>
    </row>
    <row r="15" spans="1:10" ht="28" customHeight="1" x14ac:dyDescent="0.25">
      <c r="A15" s="44" t="s">
        <v>279</v>
      </c>
      <c r="B15" s="45">
        <v>1100</v>
      </c>
      <c r="C15" s="45">
        <v>1000</v>
      </c>
      <c r="D15" s="45">
        <f t="shared" si="0"/>
        <v>189.20000000000002</v>
      </c>
      <c r="E15" s="46">
        <v>776</v>
      </c>
      <c r="F15" s="45">
        <f t="shared" si="1"/>
        <v>324</v>
      </c>
      <c r="G15" s="45">
        <f t="shared" si="2"/>
        <v>1189.2</v>
      </c>
      <c r="H15" s="47">
        <f t="shared" si="4"/>
        <v>1513.2</v>
      </c>
      <c r="I15" s="48"/>
    </row>
    <row r="16" spans="1:10" ht="28" customHeight="1" x14ac:dyDescent="0.25">
      <c r="A16" s="44" t="s">
        <v>321</v>
      </c>
      <c r="B16" s="45">
        <v>1050</v>
      </c>
      <c r="C16" s="45">
        <v>1000</v>
      </c>
      <c r="D16" s="45">
        <f t="shared" si="0"/>
        <v>189.20000000000002</v>
      </c>
      <c r="E16" s="46">
        <v>776</v>
      </c>
      <c r="F16" s="45">
        <f t="shared" si="1"/>
        <v>274</v>
      </c>
      <c r="G16" s="45">
        <f t="shared" si="2"/>
        <v>1189.2</v>
      </c>
      <c r="H16" s="47">
        <f t="shared" si="4"/>
        <v>1463.2</v>
      </c>
      <c r="I16" s="48"/>
    </row>
    <row r="17" spans="1:9" ht="18" x14ac:dyDescent="0.25">
      <c r="A17" s="63"/>
      <c r="B17" s="64"/>
      <c r="C17" s="64"/>
      <c r="D17" s="64"/>
      <c r="E17" s="65"/>
      <c r="F17" s="64">
        <f>SUBTOTAL(109,Table3[КЕШ])</f>
        <v>6455</v>
      </c>
      <c r="G17" s="64"/>
      <c r="H17" s="60">
        <f>SUBTOTAL(109,Table3[Пълен Разход])</f>
        <v>21630.891640000005</v>
      </c>
      <c r="I17" s="49"/>
    </row>
    <row r="18" spans="1:9" ht="64" customHeight="1" x14ac:dyDescent="0.2">
      <c r="A18" s="49"/>
      <c r="B18" s="49"/>
      <c r="C18" s="49"/>
      <c r="D18" s="49"/>
      <c r="E18" s="49"/>
      <c r="F18" s="50"/>
      <c r="G18" s="49"/>
      <c r="H18" s="50"/>
      <c r="I18" s="49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6F587-908C-C645-9040-3AE2AB250E77}">
  <dimension ref="A1:J8"/>
  <sheetViews>
    <sheetView workbookViewId="0">
      <selection activeCell="G27" sqref="G27"/>
    </sheetView>
  </sheetViews>
  <sheetFormatPr baseColWidth="10" defaultColWidth="15.33203125" defaultRowHeight="16" x14ac:dyDescent="0.2"/>
  <cols>
    <col min="1" max="1" width="37.83203125" customWidth="1"/>
    <col min="4" max="4" width="26.83203125" customWidth="1"/>
    <col min="5" max="5" width="17.33203125" customWidth="1"/>
    <col min="8" max="8" width="16.6640625" customWidth="1"/>
  </cols>
  <sheetData>
    <row r="1" spans="1:10" ht="19" thickBot="1" x14ac:dyDescent="0.25">
      <c r="A1" s="58" t="s">
        <v>302</v>
      </c>
      <c r="B1" s="51" t="s">
        <v>301</v>
      </c>
      <c r="C1" s="52" t="s">
        <v>300</v>
      </c>
      <c r="D1" s="53" t="s">
        <v>299</v>
      </c>
      <c r="E1" s="51" t="s">
        <v>298</v>
      </c>
      <c r="F1" s="51" t="s">
        <v>297</v>
      </c>
      <c r="G1" s="53" t="s">
        <v>296</v>
      </c>
      <c r="H1" s="53" t="s">
        <v>295</v>
      </c>
      <c r="J1" s="43">
        <v>0.18920000000000001</v>
      </c>
    </row>
    <row r="2" spans="1:10" ht="20" thickTop="1" x14ac:dyDescent="0.25">
      <c r="A2" s="59" t="s">
        <v>310</v>
      </c>
      <c r="B2" s="57">
        <v>482</v>
      </c>
      <c r="C2" s="57">
        <v>620.20000000000005</v>
      </c>
      <c r="D2" s="57">
        <f>Table4[[#This Row],[Осиг. доход	]]*$J$1</f>
        <v>117.34184000000002</v>
      </c>
      <c r="E2" s="54">
        <v>482</v>
      </c>
      <c r="F2" s="57"/>
      <c r="G2" s="54">
        <f>C2+D2</f>
        <v>737.54184000000009</v>
      </c>
      <c r="H2" s="54">
        <f>G2+F2</f>
        <v>737.54184000000009</v>
      </c>
      <c r="J2">
        <f>COUNTA(A2:A21)</f>
        <v>6</v>
      </c>
    </row>
    <row r="3" spans="1:10" ht="19" x14ac:dyDescent="0.25">
      <c r="A3" s="55" t="s">
        <v>311</v>
      </c>
      <c r="B3" s="60">
        <f>B2</f>
        <v>482</v>
      </c>
      <c r="C3" s="60">
        <f t="shared" ref="C3:F3" si="0">C2</f>
        <v>620.20000000000005</v>
      </c>
      <c r="D3" s="60">
        <f t="shared" si="0"/>
        <v>117.34184000000002</v>
      </c>
      <c r="E3" s="60">
        <f t="shared" si="0"/>
        <v>482</v>
      </c>
      <c r="F3" s="60">
        <f t="shared" si="0"/>
        <v>0</v>
      </c>
      <c r="G3" s="60">
        <f>G2</f>
        <v>737.54184000000009</v>
      </c>
      <c r="H3" s="60">
        <v>0</v>
      </c>
      <c r="J3">
        <v>230</v>
      </c>
    </row>
    <row r="4" spans="1:10" ht="19" x14ac:dyDescent="0.25">
      <c r="A4" s="59" t="s">
        <v>282</v>
      </c>
      <c r="B4" s="57">
        <v>482</v>
      </c>
      <c r="C4" s="57">
        <v>620.20000000000005</v>
      </c>
      <c r="D4" s="57">
        <f>Table4[[#This Row],[Осиг. доход	]]*$J$1</f>
        <v>117.34184000000002</v>
      </c>
      <c r="E4" s="54">
        <v>482</v>
      </c>
      <c r="F4" s="57">
        <v>0</v>
      </c>
      <c r="G4" s="54">
        <f>C4+D4</f>
        <v>737.54184000000009</v>
      </c>
      <c r="H4" s="54">
        <f>G4+F4</f>
        <v>737.54184000000009</v>
      </c>
    </row>
    <row r="5" spans="1:10" ht="19" x14ac:dyDescent="0.25">
      <c r="A5" s="55" t="s">
        <v>309</v>
      </c>
      <c r="B5" s="56">
        <v>2500</v>
      </c>
      <c r="C5" s="56">
        <v>1041</v>
      </c>
      <c r="D5" s="56">
        <f>Table4[[#This Row],[Осиг. доход	]]*$J$1</f>
        <v>196.9572</v>
      </c>
      <c r="E5" s="56">
        <v>808</v>
      </c>
      <c r="F5" s="56">
        <v>0</v>
      </c>
      <c r="G5" s="56">
        <f>C5+D5</f>
        <v>1237.9572000000001</v>
      </c>
      <c r="H5" s="56">
        <f>G5+F5</f>
        <v>1237.9572000000001</v>
      </c>
    </row>
    <row r="6" spans="1:10" ht="19" x14ac:dyDescent="0.25">
      <c r="A6" s="61" t="s">
        <v>312</v>
      </c>
      <c r="B6" s="62">
        <v>2500</v>
      </c>
      <c r="C6" s="62"/>
      <c r="D6" s="62">
        <f>Table4[[#This Row],[Нето]]*10%</f>
        <v>250</v>
      </c>
      <c r="E6" s="62">
        <v>2500</v>
      </c>
      <c r="F6" s="62"/>
      <c r="G6" s="62">
        <f>C6+D6</f>
        <v>250</v>
      </c>
      <c r="H6" s="62">
        <f>G6+E6</f>
        <v>2750</v>
      </c>
    </row>
    <row r="7" spans="1:10" ht="19" x14ac:dyDescent="0.25">
      <c r="A7" s="61" t="s">
        <v>313</v>
      </c>
      <c r="B7" s="62">
        <v>5000</v>
      </c>
      <c r="C7" s="62">
        <v>2111.64</v>
      </c>
      <c r="D7" s="62">
        <f>Table4[[#This Row],[Осиг. доход	]]*$J$1</f>
        <v>399.522288</v>
      </c>
      <c r="E7" s="62">
        <v>5000</v>
      </c>
      <c r="F7" s="62"/>
      <c r="G7" s="62">
        <v>1250</v>
      </c>
      <c r="H7" s="62">
        <f>G7+E7</f>
        <v>6250</v>
      </c>
    </row>
    <row r="8" spans="1:10" x14ac:dyDescent="0.2">
      <c r="D8" s="23"/>
      <c r="H8" s="23">
        <f>SUBTOTAL(109,Table4[Пълен Разход])</f>
        <v>11713.04088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30B1-C7D0-7142-81F0-6CCFC3A16666}">
  <dimension ref="A1:C23"/>
  <sheetViews>
    <sheetView workbookViewId="0">
      <selection activeCell="F18" sqref="F18"/>
    </sheetView>
  </sheetViews>
  <sheetFormatPr baseColWidth="10" defaultRowHeight="16" x14ac:dyDescent="0.2"/>
  <cols>
    <col min="1" max="1" width="49" customWidth="1"/>
    <col min="2" max="2" width="20.5" customWidth="1"/>
    <col min="3" max="3" width="26.5" customWidth="1"/>
  </cols>
  <sheetData>
    <row r="1" spans="1:3" x14ac:dyDescent="0.2">
      <c r="A1" t="s">
        <v>303</v>
      </c>
      <c r="B1" t="s">
        <v>304</v>
      </c>
      <c r="C1" t="s">
        <v>305</v>
      </c>
    </row>
    <row r="2" spans="1:3" ht="19" x14ac:dyDescent="0.25">
      <c r="A2" s="24" t="s">
        <v>294</v>
      </c>
      <c r="B2" s="24" t="s">
        <v>306</v>
      </c>
      <c r="C2" s="25">
        <v>1413.2</v>
      </c>
    </row>
    <row r="3" spans="1:3" ht="19" x14ac:dyDescent="0.25">
      <c r="A3" s="26" t="s">
        <v>293</v>
      </c>
      <c r="B3" s="26" t="s">
        <v>307</v>
      </c>
      <c r="C3" s="27">
        <v>1413.2</v>
      </c>
    </row>
    <row r="4" spans="1:3" ht="19" x14ac:dyDescent="0.25">
      <c r="A4" s="24" t="s">
        <v>292</v>
      </c>
      <c r="B4" s="24" t="s">
        <v>306</v>
      </c>
      <c r="C4" s="25">
        <v>1088.44</v>
      </c>
    </row>
    <row r="5" spans="1:3" ht="19" x14ac:dyDescent="0.25">
      <c r="A5" s="28" t="s">
        <v>291</v>
      </c>
      <c r="B5" s="28" t="s">
        <v>308</v>
      </c>
      <c r="C5" s="29">
        <v>1613.2</v>
      </c>
    </row>
    <row r="6" spans="1:3" ht="19" x14ac:dyDescent="0.25">
      <c r="A6" s="24" t="s">
        <v>290</v>
      </c>
      <c r="B6" s="24" t="s">
        <v>306</v>
      </c>
      <c r="C6" s="25">
        <v>1693.2</v>
      </c>
    </row>
    <row r="7" spans="1:3" ht="19" x14ac:dyDescent="0.25">
      <c r="A7" s="24" t="s">
        <v>289</v>
      </c>
      <c r="B7" s="24" t="s">
        <v>306</v>
      </c>
      <c r="C7" s="25">
        <v>1363.2</v>
      </c>
    </row>
    <row r="8" spans="1:3" ht="19" x14ac:dyDescent="0.25">
      <c r="A8" s="24" t="s">
        <v>288</v>
      </c>
      <c r="B8" s="24" t="s">
        <v>306</v>
      </c>
      <c r="C8" s="25">
        <v>1588.2</v>
      </c>
    </row>
    <row r="9" spans="1:3" ht="19" x14ac:dyDescent="0.25">
      <c r="A9" s="24" t="s">
        <v>287</v>
      </c>
      <c r="B9" s="24" t="s">
        <v>306</v>
      </c>
      <c r="C9" s="25">
        <v>1693.2</v>
      </c>
    </row>
    <row r="10" spans="1:3" ht="19" x14ac:dyDescent="0.25">
      <c r="A10" s="28" t="s">
        <v>286</v>
      </c>
      <c r="B10" s="28" t="s">
        <v>308</v>
      </c>
      <c r="C10" s="29">
        <v>1663.2</v>
      </c>
    </row>
    <row r="11" spans="1:3" ht="19" x14ac:dyDescent="0.25">
      <c r="A11" s="24" t="s">
        <v>7</v>
      </c>
      <c r="B11" s="24" t="s">
        <v>306</v>
      </c>
      <c r="C11" s="25">
        <v>1200</v>
      </c>
    </row>
    <row r="12" spans="1:3" ht="19" x14ac:dyDescent="0.25">
      <c r="A12" s="24" t="s">
        <v>285</v>
      </c>
      <c r="B12" s="24" t="s">
        <v>306</v>
      </c>
      <c r="C12" s="25">
        <v>1463.2</v>
      </c>
    </row>
    <row r="13" spans="1:3" ht="19" x14ac:dyDescent="0.25">
      <c r="A13" s="30" t="s">
        <v>284</v>
      </c>
      <c r="B13" s="30" t="s">
        <v>306</v>
      </c>
      <c r="C13" s="31">
        <v>2350.69164</v>
      </c>
    </row>
    <row r="14" spans="1:3" ht="19" x14ac:dyDescent="0.25">
      <c r="A14" s="28" t="s">
        <v>283</v>
      </c>
      <c r="B14" s="28" t="s">
        <v>308</v>
      </c>
      <c r="C14" s="29">
        <v>1463.2</v>
      </c>
    </row>
    <row r="15" spans="1:3" ht="19" x14ac:dyDescent="0.25">
      <c r="A15" s="24" t="s">
        <v>279</v>
      </c>
      <c r="B15" s="24" t="s">
        <v>306</v>
      </c>
      <c r="C15" s="25">
        <v>1513.2</v>
      </c>
    </row>
    <row r="16" spans="1:3" ht="19" x14ac:dyDescent="0.25">
      <c r="C16" s="32">
        <v>21519.331640000004</v>
      </c>
    </row>
    <row r="21" spans="1:2" ht="19" x14ac:dyDescent="0.25">
      <c r="A21" s="35" t="s">
        <v>306</v>
      </c>
      <c r="B21" s="36">
        <f>SUMIF(Table1[Отдел],"Acc",Table1[Сума])</f>
        <v>15366.531640000001</v>
      </c>
    </row>
    <row r="22" spans="1:2" ht="19" x14ac:dyDescent="0.25">
      <c r="A22" s="33" t="s">
        <v>308</v>
      </c>
      <c r="B22" s="34">
        <f>SUMIF(Table1[Отдел],"HR",Table1[Сума])</f>
        <v>4739.6000000000004</v>
      </c>
    </row>
    <row r="23" spans="1:2" ht="19" x14ac:dyDescent="0.25">
      <c r="A23" s="37" t="s">
        <v>307</v>
      </c>
      <c r="B23" s="38">
        <f>SUMIF(Table1[Отдел],"Admin",Table1[Сума])</f>
        <v>1413.2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D9236-009D-7440-B27E-158D3BD5AD98}">
  <dimension ref="A1:B22"/>
  <sheetViews>
    <sheetView workbookViewId="0">
      <selection activeCell="H18" sqref="H18"/>
    </sheetView>
  </sheetViews>
  <sheetFormatPr baseColWidth="10" defaultRowHeight="16" x14ac:dyDescent="0.2"/>
  <cols>
    <col min="1" max="1" width="25.5" customWidth="1"/>
    <col min="2" max="2" width="41.6640625" customWidth="1"/>
  </cols>
  <sheetData>
    <row r="1" spans="1:2" ht="22" x14ac:dyDescent="0.3">
      <c r="A1" s="66"/>
      <c r="B1" s="66"/>
    </row>
    <row r="2" spans="1:2" ht="22" x14ac:dyDescent="0.3">
      <c r="A2" s="67" t="s">
        <v>322</v>
      </c>
      <c r="B2" s="68">
        <f>Master!H188</f>
        <v>46520</v>
      </c>
    </row>
    <row r="3" spans="1:2" ht="22" x14ac:dyDescent="0.3">
      <c r="A3" s="67" t="s">
        <v>334</v>
      </c>
      <c r="B3" s="68">
        <v>3000</v>
      </c>
    </row>
    <row r="4" spans="1:2" ht="22" x14ac:dyDescent="0.3">
      <c r="A4" s="66"/>
      <c r="B4" s="66"/>
    </row>
    <row r="5" spans="1:2" ht="22" x14ac:dyDescent="0.3">
      <c r="A5" s="71" t="s">
        <v>323</v>
      </c>
      <c r="B5" s="72">
        <f>Table3[[#Totals],[Пълен Разход]]</f>
        <v>21630.891640000005</v>
      </c>
    </row>
    <row r="6" spans="1:2" ht="22" x14ac:dyDescent="0.3">
      <c r="A6" s="71" t="s">
        <v>324</v>
      </c>
      <c r="B6" s="72">
        <f>Table4[[#Totals],[Пълен Разход]]</f>
        <v>11713.04088</v>
      </c>
    </row>
    <row r="7" spans="1:2" ht="22" x14ac:dyDescent="0.3">
      <c r="A7" s="71" t="s">
        <v>325</v>
      </c>
      <c r="B7" s="72">
        <f>(PayRoll!J1+'External Expenses'!J2)*102</f>
        <v>2142</v>
      </c>
    </row>
    <row r="8" spans="1:2" ht="22" x14ac:dyDescent="0.3">
      <c r="A8" s="71" t="s">
        <v>336</v>
      </c>
      <c r="B8" s="72">
        <v>6000</v>
      </c>
    </row>
    <row r="9" spans="1:2" ht="22" x14ac:dyDescent="0.3">
      <c r="A9" s="66"/>
      <c r="B9" s="66"/>
    </row>
    <row r="10" spans="1:2" ht="22" x14ac:dyDescent="0.3">
      <c r="A10" s="71" t="s">
        <v>326</v>
      </c>
      <c r="B10" s="72">
        <f>SUM(B11:B16)</f>
        <v>2450</v>
      </c>
    </row>
    <row r="11" spans="1:2" ht="22" x14ac:dyDescent="0.3">
      <c r="A11" s="70" t="s">
        <v>327</v>
      </c>
      <c r="B11" s="69">
        <v>100</v>
      </c>
    </row>
    <row r="12" spans="1:2" ht="22" x14ac:dyDescent="0.3">
      <c r="A12" s="70" t="s">
        <v>328</v>
      </c>
      <c r="B12" s="69">
        <v>300</v>
      </c>
    </row>
    <row r="13" spans="1:2" ht="22" x14ac:dyDescent="0.3">
      <c r="A13" s="70" t="s">
        <v>329</v>
      </c>
      <c r="B13" s="69">
        <v>500</v>
      </c>
    </row>
    <row r="14" spans="1:2" ht="22" x14ac:dyDescent="0.3">
      <c r="A14" s="70" t="s">
        <v>330</v>
      </c>
      <c r="B14" s="69">
        <v>1000</v>
      </c>
    </row>
    <row r="15" spans="1:2" ht="22" x14ac:dyDescent="0.3">
      <c r="A15" s="70" t="s">
        <v>331</v>
      </c>
      <c r="B15" s="69">
        <v>50</v>
      </c>
    </row>
    <row r="16" spans="1:2" ht="22" x14ac:dyDescent="0.3">
      <c r="A16" s="70" t="s">
        <v>332</v>
      </c>
      <c r="B16" s="69">
        <v>500</v>
      </c>
    </row>
    <row r="17" spans="1:2" ht="22" x14ac:dyDescent="0.3">
      <c r="A17" s="66"/>
      <c r="B17" s="66"/>
    </row>
    <row r="18" spans="1:2" ht="22" x14ac:dyDescent="0.3">
      <c r="A18" s="66"/>
      <c r="B18" s="66"/>
    </row>
    <row r="19" spans="1:2" ht="22" x14ac:dyDescent="0.3">
      <c r="A19" s="75" t="s">
        <v>333</v>
      </c>
      <c r="B19" s="76">
        <f>B5+B6+B7+B8+B10</f>
        <v>43935.932520000002</v>
      </c>
    </row>
    <row r="20" spans="1:2" ht="22" x14ac:dyDescent="0.3">
      <c r="A20" s="66"/>
      <c r="B20" s="66"/>
    </row>
    <row r="21" spans="1:2" ht="22" x14ac:dyDescent="0.3">
      <c r="A21" s="66"/>
      <c r="B21" s="66"/>
    </row>
    <row r="22" spans="1:2" ht="22" x14ac:dyDescent="0.3">
      <c r="A22" s="73" t="s">
        <v>335</v>
      </c>
      <c r="B22" s="74">
        <f>(B2+B3)-B19</f>
        <v>5584.0674799999979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9601-0228-4ADA-90B6-F350EB10E8D3}">
  <dimension ref="D3:G14"/>
  <sheetViews>
    <sheetView workbookViewId="0">
      <selection activeCell="E18" sqref="E18"/>
    </sheetView>
  </sheetViews>
  <sheetFormatPr baseColWidth="10" defaultColWidth="8.83203125" defaultRowHeight="16" x14ac:dyDescent="0.2"/>
  <cols>
    <col min="4" max="4" width="35.1640625" bestFit="1" customWidth="1"/>
    <col min="5" max="5" width="27" bestFit="1" customWidth="1"/>
    <col min="7" max="7" width="12.83203125" bestFit="1" customWidth="1"/>
  </cols>
  <sheetData>
    <row r="3" spans="4:7" x14ac:dyDescent="0.2">
      <c r="D3" t="s">
        <v>272</v>
      </c>
      <c r="E3" t="s">
        <v>273</v>
      </c>
      <c r="G3" t="s">
        <v>274</v>
      </c>
    </row>
    <row r="4" spans="4:7" x14ac:dyDescent="0.2">
      <c r="D4" t="s">
        <v>56</v>
      </c>
      <c r="E4" t="s">
        <v>86</v>
      </c>
      <c r="G4" t="s">
        <v>2</v>
      </c>
    </row>
    <row r="5" spans="4:7" x14ac:dyDescent="0.2">
      <c r="D5" t="s">
        <v>76</v>
      </c>
      <c r="E5" t="s">
        <v>93</v>
      </c>
      <c r="G5" t="s">
        <v>275</v>
      </c>
    </row>
    <row r="6" spans="4:7" x14ac:dyDescent="0.2">
      <c r="D6" t="s">
        <v>6</v>
      </c>
      <c r="E6" t="s">
        <v>276</v>
      </c>
      <c r="G6" t="s">
        <v>277</v>
      </c>
    </row>
    <row r="7" spans="4:7" x14ac:dyDescent="0.2">
      <c r="D7" t="s">
        <v>5</v>
      </c>
    </row>
    <row r="8" spans="4:7" x14ac:dyDescent="0.2">
      <c r="D8" t="s">
        <v>9</v>
      </c>
    </row>
    <row r="9" spans="4:7" x14ac:dyDescent="0.2">
      <c r="D9" t="s">
        <v>4</v>
      </c>
    </row>
    <row r="10" spans="4:7" x14ac:dyDescent="0.2">
      <c r="D10" t="s">
        <v>278</v>
      </c>
    </row>
    <row r="11" spans="4:7" x14ac:dyDescent="0.2">
      <c r="D11" t="s">
        <v>7</v>
      </c>
    </row>
    <row r="12" spans="4:7" x14ac:dyDescent="0.2">
      <c r="D12" t="s">
        <v>279</v>
      </c>
    </row>
    <row r="13" spans="4:7" x14ac:dyDescent="0.2">
      <c r="D13" t="s">
        <v>8</v>
      </c>
    </row>
    <row r="14" spans="4:7" x14ac:dyDescent="0.2">
      <c r="D14" t="s">
        <v>96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D8DE18-F292-4830-821A-EB962AA778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Master</vt:lpstr>
      <vt:lpstr>PayRoll</vt:lpstr>
      <vt:lpstr>External Expenses</vt:lpstr>
      <vt:lpstr>Segment Costs</vt:lpstr>
      <vt:lpstr>Cashfllow</vt:lpstr>
      <vt:lpstr>Lists</vt:lpstr>
      <vt:lpstr>MasterTAble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Kalin Diev</dc:creator>
  <cp:keywords/>
  <dc:description/>
  <cp:lastModifiedBy>Kalin Diev</cp:lastModifiedBy>
  <cp:revision/>
  <cp:lastPrinted>2026-03-13T11:33:49Z</cp:lastPrinted>
  <dcterms:created xsi:type="dcterms:W3CDTF">2026-01-19T09:22:26Z</dcterms:created>
  <dcterms:modified xsi:type="dcterms:W3CDTF">2026-03-30T12:10:57Z</dcterms:modified>
  <cp:category/>
  <cp:contentStatus/>
</cp:coreProperties>
</file>